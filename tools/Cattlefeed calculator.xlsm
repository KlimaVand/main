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85" windowWidth="18195" windowHeight="12915" activeTab="5"/>
  </bookViews>
  <sheets>
    <sheet name="Control" sheetId="5" r:id="rId1"/>
    <sheet name="feedtable" sheetId="1" r:id="rId2"/>
    <sheet name="HEIFERS1" sheetId="4" r:id="rId3"/>
    <sheet name="HEIFERS2" sheetId="6" r:id="rId4"/>
    <sheet name="HEIFERS3" sheetId="7" r:id="rId5"/>
    <sheet name="DAIRY-1stEarly" sheetId="2" r:id="rId6"/>
    <sheet name="DAIRY-1stLate" sheetId="8" r:id="rId7"/>
    <sheet name="DAIRY-MatureEarly" sheetId="9" r:id="rId8"/>
    <sheet name="DAIRY-MatureLate" sheetId="10" r:id="rId9"/>
    <sheet name="DAIRY-Dry" sheetId="11" r:id="rId10"/>
  </sheets>
  <calcPr calcId="145621"/>
</workbook>
</file>

<file path=xl/calcChain.xml><?xml version="1.0" encoding="utf-8"?>
<calcChain xmlns="http://schemas.openxmlformats.org/spreadsheetml/2006/main">
  <c r="K38" i="11" l="1"/>
  <c r="G36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G37" i="11" s="1"/>
  <c r="M38" i="11" l="1"/>
  <c r="M37" i="11"/>
  <c r="M36" i="11"/>
  <c r="C39" i="11" s="1"/>
  <c r="C42" i="11" s="1"/>
  <c r="C42" i="10"/>
  <c r="C42" i="9"/>
  <c r="C42" i="8"/>
  <c r="C42" i="2"/>
  <c r="K38" i="10"/>
  <c r="G36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G37" i="10" s="1"/>
  <c r="K38" i="9"/>
  <c r="G36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G37" i="9" s="1"/>
  <c r="K38" i="8"/>
  <c r="G36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G36" i="2"/>
  <c r="G36" i="4"/>
  <c r="E31" i="4"/>
  <c r="G37" i="6"/>
  <c r="G36" i="6"/>
  <c r="E31" i="6"/>
  <c r="G36" i="7"/>
  <c r="G37" i="7"/>
  <c r="E31" i="7"/>
  <c r="C41" i="7"/>
  <c r="K38" i="7"/>
  <c r="E32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C41" i="6"/>
  <c r="K38" i="6"/>
  <c r="E32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5" i="4"/>
  <c r="E4" i="4"/>
  <c r="C40" i="11" l="1"/>
  <c r="C41" i="11" s="1"/>
  <c r="M38" i="10"/>
  <c r="M37" i="10"/>
  <c r="C40" i="10" s="1"/>
  <c r="M36" i="10"/>
  <c r="C39" i="10" s="1"/>
  <c r="M38" i="9"/>
  <c r="M37" i="9"/>
  <c r="C40" i="9" s="1"/>
  <c r="M36" i="9"/>
  <c r="C39" i="9" s="1"/>
  <c r="C41" i="9" s="1"/>
  <c r="G37" i="8"/>
  <c r="M36" i="8" s="1"/>
  <c r="C39" i="8" s="1"/>
  <c r="C41" i="8" s="1"/>
  <c r="M38" i="8"/>
  <c r="M37" i="8"/>
  <c r="C40" i="8" s="1"/>
  <c r="M38" i="7"/>
  <c r="M36" i="6"/>
  <c r="C39" i="6" s="1"/>
  <c r="C42" i="6" s="1"/>
  <c r="M38" i="6"/>
  <c r="M37" i="6"/>
  <c r="E6" i="2"/>
  <c r="E5" i="2"/>
  <c r="E4" i="2"/>
  <c r="K38" i="4"/>
  <c r="E32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3" i="4"/>
  <c r="E2" i="4"/>
  <c r="G37" i="4" s="1"/>
  <c r="C41" i="10" l="1"/>
  <c r="M36" i="7"/>
  <c r="C39" i="7" s="1"/>
  <c r="C42" i="7" s="1"/>
  <c r="M37" i="7"/>
  <c r="C40" i="6"/>
  <c r="K38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3" i="2"/>
  <c r="C40" i="7" l="1"/>
  <c r="M38" i="4"/>
  <c r="M37" i="4"/>
  <c r="M36" i="4"/>
  <c r="C39" i="4" s="1"/>
  <c r="C42" i="4" s="1"/>
  <c r="C41" i="4"/>
  <c r="E2" i="2"/>
  <c r="G37" i="2" l="1"/>
  <c r="M38" i="2" s="1"/>
  <c r="C40" i="4"/>
  <c r="M37" i="2" l="1"/>
  <c r="C40" i="2" s="1"/>
  <c r="M36" i="2"/>
  <c r="C39" i="2" s="1"/>
  <c r="C41" i="2" l="1"/>
</calcChain>
</file>

<file path=xl/comments1.xml><?xml version="1.0" encoding="utf-8"?>
<comments xmlns="http://schemas.openxmlformats.org/spreadsheetml/2006/main">
  <authors>
    <author>NJH</author>
  </authors>
  <commentList>
    <comment ref="J36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content of weight gain (about 10 for young cattle, about 25 for old cattle)</t>
        </r>
      </text>
    </comment>
    <comment ref="C37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If set to &lt;0, Growth energy/growth will calculate daily growth rate</t>
        </r>
      </text>
    </comment>
    <comment ref="C40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requirement for growth or growth rate, depending on value in Growth</t>
        </r>
      </text>
    </comment>
  </commentList>
</comments>
</file>

<file path=xl/comments2.xml><?xml version="1.0" encoding="utf-8"?>
<comments xmlns="http://schemas.openxmlformats.org/spreadsheetml/2006/main">
  <authors>
    <author>NJH</author>
  </authors>
  <commentList>
    <comment ref="J36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content of weight gain (about 10 for young cattle, about 25 for old cattle)</t>
        </r>
      </text>
    </comment>
    <comment ref="C37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If set to &lt;0, Growth energy/growth will calculate daily growth rate</t>
        </r>
      </text>
    </comment>
    <comment ref="C40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requirement for growth or growth rate, depending on value in Growth</t>
        </r>
      </text>
    </comment>
  </commentList>
</comments>
</file>

<file path=xl/comments3.xml><?xml version="1.0" encoding="utf-8"?>
<comments xmlns="http://schemas.openxmlformats.org/spreadsheetml/2006/main">
  <authors>
    <author>NJH</author>
  </authors>
  <commentList>
    <comment ref="J36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content of weight gain (about 10 for young cattle, about 25 for old cattle)</t>
        </r>
      </text>
    </comment>
    <comment ref="C37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If set to &lt;0, Growth energy/growth will calculate daily growth rate</t>
        </r>
      </text>
    </comment>
    <comment ref="C40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requirement for growth or growth rate, depending on value in Growth</t>
        </r>
      </text>
    </comment>
  </commentList>
</comments>
</file>

<file path=xl/comments4.xml><?xml version="1.0" encoding="utf-8"?>
<comments xmlns="http://schemas.openxmlformats.org/spreadsheetml/2006/main">
  <authors>
    <author>NJH</author>
  </authors>
  <commentList>
    <comment ref="J36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content of weight gain (about 10 for young cattle, about 25 for old cattle)</t>
        </r>
      </text>
    </comment>
    <comment ref="C37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If set to &lt;0, Growth energy/growth will calculate daily growth rate</t>
        </r>
      </text>
    </comment>
    <comment ref="C40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requirement for growth or growth rate, depending on value in Growth</t>
        </r>
      </text>
    </comment>
  </commentList>
</comments>
</file>

<file path=xl/comments5.xml><?xml version="1.0" encoding="utf-8"?>
<comments xmlns="http://schemas.openxmlformats.org/spreadsheetml/2006/main">
  <authors>
    <author>NJH</author>
  </authors>
  <commentList>
    <comment ref="J36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content of weight gain (about 10 for young cattle, about 25 for old cattle)</t>
        </r>
      </text>
    </comment>
    <comment ref="C37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If set to &lt;0, Growth energy/growth will calculate daily growth rate</t>
        </r>
      </text>
    </comment>
    <comment ref="C40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requirement for growth or growth rate, depending on value in Growth</t>
        </r>
      </text>
    </comment>
  </commentList>
</comments>
</file>

<file path=xl/comments6.xml><?xml version="1.0" encoding="utf-8"?>
<comments xmlns="http://schemas.openxmlformats.org/spreadsheetml/2006/main">
  <authors>
    <author>NJH</author>
  </authors>
  <commentList>
    <comment ref="J36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content of weight gain (about 10 for young cattle, about 25 for old cattle)</t>
        </r>
      </text>
    </comment>
    <comment ref="C37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If set to &lt;0, Growth energy/growth will calculate daily growth rate</t>
        </r>
      </text>
    </comment>
    <comment ref="C40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requirement for growth or growth rate, depending on value in Growth</t>
        </r>
      </text>
    </comment>
  </commentList>
</comments>
</file>

<file path=xl/comments7.xml><?xml version="1.0" encoding="utf-8"?>
<comments xmlns="http://schemas.openxmlformats.org/spreadsheetml/2006/main">
  <authors>
    <author>NJH</author>
  </authors>
  <commentList>
    <comment ref="J36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content of weight gain (about 10 for young cattle, about 25 for old cattle)</t>
        </r>
      </text>
    </comment>
    <comment ref="C37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If set to &lt;0, Growth energy/growth will calculate daily growth rate</t>
        </r>
      </text>
    </comment>
    <comment ref="C40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requirement for growth or growth rate, depending on value in Growth</t>
        </r>
      </text>
    </comment>
  </commentList>
</comments>
</file>

<file path=xl/comments8.xml><?xml version="1.0" encoding="utf-8"?>
<comments xmlns="http://schemas.openxmlformats.org/spreadsheetml/2006/main">
  <authors>
    <author>NJH</author>
  </authors>
  <commentList>
    <comment ref="J36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content of weight gain (about 10 for young cattle, about 25 for old cattle)</t>
        </r>
      </text>
    </comment>
    <comment ref="C37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If set to &lt;0, Growth energy/growth will calculate daily growth rate</t>
        </r>
      </text>
    </comment>
    <comment ref="C40" authorId="0">
      <text>
        <r>
          <rPr>
            <b/>
            <sz val="9"/>
            <color indexed="81"/>
            <rFont val="Tahoma"/>
            <family val="2"/>
          </rPr>
          <t>NJH:</t>
        </r>
        <r>
          <rPr>
            <sz val="9"/>
            <color indexed="81"/>
            <rFont val="Tahoma"/>
            <family val="2"/>
          </rPr>
          <t xml:space="preserve">
Energy requirement for growth or growth rate, depending on value in Growth</t>
        </r>
      </text>
    </comment>
  </commentList>
</comments>
</file>

<file path=xl/connections.xml><?xml version="1.0" encoding="utf-8"?>
<connections xmlns="http://schemas.openxmlformats.org/spreadsheetml/2006/main">
  <connection id="1" name="feedstuff" type="4" refreshedVersion="0" background="1">
    <webPr xml="1" sourceData="1" url="C:\Users\NJH\workspace\main\tools\annimalChange\inputFiles\feedstuff.xml" htmlTables="1" htmlFormat="all"/>
  </connection>
</connections>
</file>

<file path=xl/sharedStrings.xml><?xml version="1.0" encoding="utf-8"?>
<sst xmlns="http://schemas.openxmlformats.org/spreadsheetml/2006/main" count="5488" uniqueCount="344">
  <si>
    <t>Identity</t>
  </si>
  <si>
    <t>Name</t>
  </si>
  <si>
    <t>FeedCode</t>
  </si>
  <si>
    <t>Value</t>
  </si>
  <si>
    <t>Unit</t>
  </si>
  <si>
    <t>Description</t>
  </si>
  <si>
    <t>Identity2</t>
  </si>
  <si>
    <t>FeedCode3</t>
  </si>
  <si>
    <t>Identity4</t>
  </si>
  <si>
    <t>Value5</t>
  </si>
  <si>
    <t>Unit6</t>
  </si>
  <si>
    <t>FeedCode7</t>
  </si>
  <si>
    <t>Description8</t>
  </si>
  <si>
    <t>Identity9</t>
  </si>
  <si>
    <t>Value10</t>
  </si>
  <si>
    <t>Unit11</t>
  </si>
  <si>
    <t>FeedCode12</t>
  </si>
  <si>
    <t>Description13</t>
  </si>
  <si>
    <t>Identity14</t>
  </si>
  <si>
    <t>Value15</t>
  </si>
  <si>
    <t>Unit16</t>
  </si>
  <si>
    <t>FeedCode17</t>
  </si>
  <si>
    <t>Description18</t>
  </si>
  <si>
    <t>Identity19</t>
  </si>
  <si>
    <t>Value20</t>
  </si>
  <si>
    <t>Unit21</t>
  </si>
  <si>
    <t>FeedCode22</t>
  </si>
  <si>
    <t>Description23</t>
  </si>
  <si>
    <t>Identity24</t>
  </si>
  <si>
    <t>Value25</t>
  </si>
  <si>
    <t>Unit26</t>
  </si>
  <si>
    <t>FeedCode27</t>
  </si>
  <si>
    <t>Description28</t>
  </si>
  <si>
    <t>Identity29</t>
  </si>
  <si>
    <t>Value30</t>
  </si>
  <si>
    <t>Unit31</t>
  </si>
  <si>
    <t>FeedCode32</t>
  </si>
  <si>
    <t>Description33</t>
  </si>
  <si>
    <t>Identity34</t>
  </si>
  <si>
    <t>Value35</t>
  </si>
  <si>
    <t>Unit36</t>
  </si>
  <si>
    <t>FeedCode37</t>
  </si>
  <si>
    <t>Description38</t>
  </si>
  <si>
    <t>Identity39</t>
  </si>
  <si>
    <t>Value40</t>
  </si>
  <si>
    <t>Unit41</t>
  </si>
  <si>
    <t>FeedCode42</t>
  </si>
  <si>
    <t>Description43</t>
  </si>
  <si>
    <t>Identity44</t>
  </si>
  <si>
    <t>Value45</t>
  </si>
  <si>
    <t>Unit46</t>
  </si>
  <si>
    <t>FeedCode47</t>
  </si>
  <si>
    <t>Description48</t>
  </si>
  <si>
    <t>Cotton-seed cake, husked</t>
  </si>
  <si>
    <t>Cotton-seed cake, partially husked</t>
  </si>
  <si>
    <t>Cotton-seed cake, not husked</t>
  </si>
  <si>
    <t>Cotton seed meal, partially husked</t>
  </si>
  <si>
    <t>Linseed-cake (Flaxseed cake)</t>
  </si>
  <si>
    <t>Linseed-cake meal (Flax-seed cake meal)</t>
  </si>
  <si>
    <t>Peanut meal, partially husked</t>
  </si>
  <si>
    <t>Coconut cake</t>
  </si>
  <si>
    <t>Coconut  meal cake</t>
  </si>
  <si>
    <t>Palm cake</t>
  </si>
  <si>
    <t>Coconut cake, high-fat</t>
  </si>
  <si>
    <t>Rapeseed meal, 00, 4% fat</t>
  </si>
  <si>
    <t>Rapeseed cake, 00, 10% fat</t>
  </si>
  <si>
    <t>Rapeseed cake, 00, 10% fat, protected</t>
  </si>
  <si>
    <t>Rapeseed cake, 00, 13% fat</t>
  </si>
  <si>
    <t>Rapeseed cake, 00, 13% fat, protected</t>
  </si>
  <si>
    <t>Mustard seed meal</t>
  </si>
  <si>
    <t>Soyabean cake</t>
  </si>
  <si>
    <t>Soyabean meal, husked</t>
  </si>
  <si>
    <t>Soyabean meal</t>
  </si>
  <si>
    <t>Sunflower seed cake, husked</t>
  </si>
  <si>
    <t>Sunflower seed cake, partially husked</t>
  </si>
  <si>
    <t>Sunflower seed meal, husked</t>
  </si>
  <si>
    <t>Sunflower seed meal, partially husked</t>
  </si>
  <si>
    <t>Sesame seed cake</t>
  </si>
  <si>
    <t>Sesame seed meal</t>
  </si>
  <si>
    <t>Winter barley</t>
  </si>
  <si>
    <t>Spring barley</t>
  </si>
  <si>
    <t>Oats</t>
  </si>
  <si>
    <t>Wheat</t>
  </si>
  <si>
    <t>Maize</t>
  </si>
  <si>
    <t>Milo</t>
  </si>
  <si>
    <t>Rice</t>
  </si>
  <si>
    <t>Rye</t>
  </si>
  <si>
    <t>Triticale</t>
  </si>
  <si>
    <t>Broadbeans</t>
  </si>
  <si>
    <t>Linseed (Flaxseed)</t>
  </si>
  <si>
    <t>Rape seed, 00</t>
  </si>
  <si>
    <t>Soyabeans</t>
  </si>
  <si>
    <t>Lupins, yellow</t>
  </si>
  <si>
    <t>Peas</t>
  </si>
  <si>
    <t>Sunflower seed</t>
  </si>
  <si>
    <t>Lupins, small leafed</t>
  </si>
  <si>
    <t>Barley, husked</t>
  </si>
  <si>
    <t>Barley, husked meal</t>
  </si>
  <si>
    <t>Oats, husked</t>
  </si>
  <si>
    <t>Fodder Oatmeal</t>
  </si>
  <si>
    <t>Oat, husked meal</t>
  </si>
  <si>
    <t>Wheat meal</t>
  </si>
  <si>
    <t>Wheat bran</t>
  </si>
  <si>
    <t>Wheat meal, middlings</t>
  </si>
  <si>
    <t>Wheat germ</t>
  </si>
  <si>
    <t>Fodder maize meal</t>
  </si>
  <si>
    <t>Fodder maize, gluten</t>
  </si>
  <si>
    <t>Maize, gluten</t>
  </si>
  <si>
    <t>Maize germ</t>
  </si>
  <si>
    <t>Maize bran</t>
  </si>
  <si>
    <t>Maize meal</t>
  </si>
  <si>
    <t>Maize starch</t>
  </si>
  <si>
    <t>Rice, husked</t>
  </si>
  <si>
    <t>Fodder rice meal</t>
  </si>
  <si>
    <t>Rye bran</t>
  </si>
  <si>
    <t>Rye meal, middlings</t>
  </si>
  <si>
    <t>Guar meal</t>
  </si>
  <si>
    <t>Grain stillage, fresh</t>
  </si>
  <si>
    <t>Grain stillage, dried</t>
  </si>
  <si>
    <t>Maize stillage</t>
  </si>
  <si>
    <t>Malt sprouts</t>
  </si>
  <si>
    <t>Mask, fresh</t>
  </si>
  <si>
    <t>Mask, dried</t>
  </si>
  <si>
    <t>Potato pulp</t>
  </si>
  <si>
    <t>Beet molasses (treacle)</t>
  </si>
  <si>
    <t>Cane molasses (treacle)</t>
  </si>
  <si>
    <t>Beet pulp, fresh</t>
  </si>
  <si>
    <t>Beet pulp, umelasseret</t>
  </si>
  <si>
    <t>Beet pulp, hp, ensiled, 5% molasses</t>
  </si>
  <si>
    <t>Beet pulp, ensiled</t>
  </si>
  <si>
    <t>Beet pulp, melasseret</t>
  </si>
  <si>
    <t>Vinasse</t>
  </si>
  <si>
    <t>Prolasse</t>
  </si>
  <si>
    <t>Sugar beet slices</t>
  </si>
  <si>
    <t>Soyabean, hulls</t>
  </si>
  <si>
    <t>Citrus pulp</t>
  </si>
  <si>
    <t>Cellulose- pulp</t>
  </si>
  <si>
    <t>Pectin waste</t>
  </si>
  <si>
    <t>Tapioca meal</t>
  </si>
  <si>
    <t>Sweet potato-slices</t>
  </si>
  <si>
    <t>Brewer's yeast</t>
  </si>
  <si>
    <t>Beech granules</t>
  </si>
  <si>
    <t>Milk substitute, 60% skimmed milk</t>
  </si>
  <si>
    <t>Milk substitute, 51% skimmed milk</t>
  </si>
  <si>
    <t>Milk substitute, whey-based</t>
  </si>
  <si>
    <t>Milk substitute, whey  soybean-based</t>
  </si>
  <si>
    <t>Skimmed milk powder</t>
  </si>
  <si>
    <t>Full-cream milk, large breeds</t>
  </si>
  <si>
    <t>Full-cream milk, jersey</t>
  </si>
  <si>
    <t>Acidified raw milk</t>
  </si>
  <si>
    <t>Cows' milk-substitute</t>
  </si>
  <si>
    <t>Whey</t>
  </si>
  <si>
    <t>Whey powder</t>
  </si>
  <si>
    <t>Whey permeate</t>
  </si>
  <si>
    <t>Skimmed milk</t>
  </si>
  <si>
    <t>Blood meal</t>
  </si>
  <si>
    <t>Saturated fat</t>
  </si>
  <si>
    <t>Vegetable fat</t>
  </si>
  <si>
    <t>Calcium soap</t>
  </si>
  <si>
    <t>Fodder beet 18,0% DM</t>
  </si>
  <si>
    <t>Beet top, fresh, 20% ash</t>
  </si>
  <si>
    <t>Beet top, silage, 20% ash</t>
  </si>
  <si>
    <t>Sugar beet</t>
  </si>
  <si>
    <t>Top + beet pulp, silage</t>
  </si>
  <si>
    <t>Top + straw, silage</t>
  </si>
  <si>
    <t>Top + straw + beet pulp, silage</t>
  </si>
  <si>
    <t>Wholecrop + top, silage</t>
  </si>
  <si>
    <t>Swedes</t>
  </si>
  <si>
    <t>Swedes, top</t>
  </si>
  <si>
    <t>Turnips</t>
  </si>
  <si>
    <t>Beet + top + beet pulp, silage</t>
  </si>
  <si>
    <t>Fodder beet 20% DM</t>
  </si>
  <si>
    <t>Roots + top</t>
  </si>
  <si>
    <t>Fodder beet 16,5% DM</t>
  </si>
  <si>
    <t>Beet + straw, silage</t>
  </si>
  <si>
    <t>Carrots</t>
  </si>
  <si>
    <t>Potatoes</t>
  </si>
  <si>
    <t>Lucerne, beginning flowering</t>
  </si>
  <si>
    <t>Lucerne, flowering</t>
  </si>
  <si>
    <t>Lucerne, end of flowering</t>
  </si>
  <si>
    <t>Clovergrass, 6-8 cm, 20% clover</t>
  </si>
  <si>
    <t>Clovergrass, 12-15 cm, 20% clover</t>
  </si>
  <si>
    <t>Clovergrass, 20-25 cm, 20% clover</t>
  </si>
  <si>
    <t>Clovergrass, 6-8 cm, 40% clover</t>
  </si>
  <si>
    <t>Clovergrass, 12-15 cm, 40% clover</t>
  </si>
  <si>
    <t>Clovergrass, 20-25 cm, 40% clover</t>
  </si>
  <si>
    <t>Clovergrass, 6-8 cm, 60% clover</t>
  </si>
  <si>
    <t>Clovergrass, 12-15 cm, 60% clover</t>
  </si>
  <si>
    <t>Clovergrass, 20-25 cm, 60% clover</t>
  </si>
  <si>
    <t>Italian ryegrass, spring, early</t>
  </si>
  <si>
    <t>Italian ryegrass, spring, middle</t>
  </si>
  <si>
    <t>Italian ryegrass, spring, late</t>
  </si>
  <si>
    <t>Italian ryegrass, after wholecrop</t>
  </si>
  <si>
    <t>Italian ryegrass, after grain (cereals)</t>
  </si>
  <si>
    <t>Permanent meadow grass</t>
  </si>
  <si>
    <t>Grass, 6-8 cm</t>
  </si>
  <si>
    <t>Grass, 12-15 cm</t>
  </si>
  <si>
    <t>Grass, 20-25 cm</t>
  </si>
  <si>
    <t>Galega (Goat's rue)</t>
  </si>
  <si>
    <t>White clover, beginning flowering</t>
  </si>
  <si>
    <t>Red clover, beginning flowering</t>
  </si>
  <si>
    <t>Fodder kale</t>
  </si>
  <si>
    <t>Broad beans</t>
  </si>
  <si>
    <t>Sweet lupins</t>
  </si>
  <si>
    <t>Oats, peas, vetch</t>
  </si>
  <si>
    <t>Green barley, before earing</t>
  </si>
  <si>
    <t>Barley-wholecrop, fresh</t>
  </si>
  <si>
    <t>Oats-wholecrop, fresh</t>
  </si>
  <si>
    <t>Maize, fresh</t>
  </si>
  <si>
    <t>Wholecrop,rye</t>
  </si>
  <si>
    <t>Peas - wholecrop, fresh</t>
  </si>
  <si>
    <t>Lucerne- silage, high fodder index</t>
  </si>
  <si>
    <t>Lucerne- silage, low fodder index</t>
  </si>
  <si>
    <t>Clovergrass, silage, high fodder index, 20% clover</t>
  </si>
  <si>
    <t>Clovergrass, silage, middle fodder index, 20% clover</t>
  </si>
  <si>
    <t>Clovergrass, silage, low fodder index, 20% clover</t>
  </si>
  <si>
    <t>Clovergrass, silage, high fodder index, 40% clover</t>
  </si>
  <si>
    <t>Clovergrass, silage, middle fodder index, 40% clover</t>
  </si>
  <si>
    <t>Clovergrass, silage, low fodder index, 40% clover</t>
  </si>
  <si>
    <t>Clovergrass, silage, high fodder index, 60% clover</t>
  </si>
  <si>
    <t>Clovergrass, silage, middle fodder index, 60% clover</t>
  </si>
  <si>
    <t>Clovergrass, silage, low fodder index, 60% clover</t>
  </si>
  <si>
    <t>Undersown Italian ryegrass, silage</t>
  </si>
  <si>
    <t>Green manure (second crop), wholecrop, silage</t>
  </si>
  <si>
    <t>Green manure (second crop), grain (cereals), silage</t>
  </si>
  <si>
    <t>Cocksfoot, silage</t>
  </si>
  <si>
    <t>Permanent meadow grass, silage</t>
  </si>
  <si>
    <t>Grass - silage, high fodder index</t>
  </si>
  <si>
    <t>Grass - silage, middle fodder index</t>
  </si>
  <si>
    <t>Grass - silage, low fodder index</t>
  </si>
  <si>
    <t>Grass - silage, very low fodder index</t>
  </si>
  <si>
    <t>Galega (Goat's rue), silage</t>
  </si>
  <si>
    <t>White clover, beginning flowering, silage</t>
  </si>
  <si>
    <t>Red clover, beginning flowering, silage</t>
  </si>
  <si>
    <t>Wholecrop barley / peas (beginning of earing), silage, 40% peas</t>
  </si>
  <si>
    <t>Fodder kale, silage</t>
  </si>
  <si>
    <t>Broad beans, silage</t>
  </si>
  <si>
    <t>Wholecrop barley / peas (beginning of earing), silage, 70% peas</t>
  </si>
  <si>
    <t>Wholecrop peas (beginning of earing), silage</t>
  </si>
  <si>
    <t>Sweet lupins, silage</t>
  </si>
  <si>
    <t>Oats + peas + vetch, silage</t>
  </si>
  <si>
    <t>Wholecrop barley (beginning of earing), silage</t>
  </si>
  <si>
    <t>Barley - wholcrop (early dough), high fodder index</t>
  </si>
  <si>
    <t>Barley - wholcrop (early dough), middle fodder index</t>
  </si>
  <si>
    <t>Barley - wholcrop (early dough), low fodder index</t>
  </si>
  <si>
    <t>Winter barley - wholecrop (early doyugh), silage</t>
  </si>
  <si>
    <t>Oats - wholecrop (early doyugh), silage</t>
  </si>
  <si>
    <t>Wheat - wholecrop (early doyugh), silage</t>
  </si>
  <si>
    <t>Wheat - peas, silage</t>
  </si>
  <si>
    <t>Wheat - wholecrop (early doyugh), silage, high fodder index</t>
  </si>
  <si>
    <t>Wheat - wholecrop (early doyugh), silage, middle fodder index</t>
  </si>
  <si>
    <t>Wheat - wholecrop (early doyugh), silage, low fodder index</t>
  </si>
  <si>
    <t>Maize - silage, high fodder index</t>
  </si>
  <si>
    <t>Maize - silage, middle fodder index</t>
  </si>
  <si>
    <t>Maize - silage, low fodder index</t>
  </si>
  <si>
    <t>Triticale - wholecrop (early dough), silage</t>
  </si>
  <si>
    <t>Barley - peas, silage 20% peas</t>
  </si>
  <si>
    <t>Wholecrop rye (Green rye beginning of earing), silage</t>
  </si>
  <si>
    <t>Barley - peas, silage 40% peas</t>
  </si>
  <si>
    <t>Peas - wholecrop (green ripe), silage</t>
  </si>
  <si>
    <t>Barley - peas, silage 60% peas</t>
  </si>
  <si>
    <t>Lucerne hay</t>
  </si>
  <si>
    <t>Clover hay, high fodder index</t>
  </si>
  <si>
    <t>Clover hay, low fodder index</t>
  </si>
  <si>
    <t>Grass hay</t>
  </si>
  <si>
    <t>Hay, eksta</t>
  </si>
  <si>
    <t>Hay, plus</t>
  </si>
  <si>
    <t>Hay, standard</t>
  </si>
  <si>
    <t>Hay, lucerne</t>
  </si>
  <si>
    <t>Barley straw, caustic treated</t>
  </si>
  <si>
    <t>Barley straw, ammonia treated, high fodder index</t>
  </si>
  <si>
    <t>Barley straw, ammonia treated, low fodder index</t>
  </si>
  <si>
    <t>Oat straw, ammonia treated</t>
  </si>
  <si>
    <t>Rye straw, ammonia treated</t>
  </si>
  <si>
    <t>Grass pellets, ekstra</t>
  </si>
  <si>
    <t>Grass pellets, plus</t>
  </si>
  <si>
    <t>Grass pellets, standard</t>
  </si>
  <si>
    <t>Lucerne - pellets, ekstra</t>
  </si>
  <si>
    <t>Lucerne - pellets, standard</t>
  </si>
  <si>
    <t>White clover straw</t>
  </si>
  <si>
    <t>Ryegrass - straw</t>
  </si>
  <si>
    <t>Red fescue-straw</t>
  </si>
  <si>
    <t>Chalk</t>
  </si>
  <si>
    <t>Monoammonium phosphate</t>
  </si>
  <si>
    <t>Magnesium oxide</t>
  </si>
  <si>
    <t>Magnesium phosphate</t>
  </si>
  <si>
    <t>Monocalcium phosphate</t>
  </si>
  <si>
    <t>Fodder salt</t>
  </si>
  <si>
    <t>Sodium bicarbonate</t>
  </si>
  <si>
    <t>Sodium hydroxide</t>
  </si>
  <si>
    <t>Glauber's salt</t>
  </si>
  <si>
    <t>Fodder urea</t>
  </si>
  <si>
    <t>Spring barley - straw</t>
  </si>
  <si>
    <t>Winter barley - straw</t>
  </si>
  <si>
    <t>Oat - straw</t>
  </si>
  <si>
    <t>Maize straw</t>
  </si>
  <si>
    <t>Wheat- straw</t>
  </si>
  <si>
    <t>Rye- straw</t>
  </si>
  <si>
    <t>Pea - straw</t>
  </si>
  <si>
    <t>Fishmeal, standard</t>
  </si>
  <si>
    <t>Fishmeal, poorly soluble</t>
  </si>
  <si>
    <t>Fish silage</t>
  </si>
  <si>
    <t>Calcium nitrate</t>
  </si>
  <si>
    <t>Potassium nitrate</t>
  </si>
  <si>
    <t>none</t>
  </si>
  <si>
    <t>Is true if this item is the main product of the crop</t>
  </si>
  <si>
    <t>kg/kgDM</t>
  </si>
  <si>
    <t>The concentration of lignin (=acid detergent fibre)</t>
  </si>
  <si>
    <t>Concentration of nitrogen-free extract (=sugar and starch)</t>
  </si>
  <si>
    <t>Concentration of crude protein (= 6.25 times nitrogen concentration)</t>
  </si>
  <si>
    <t>Concentration of fat</t>
  </si>
  <si>
    <t>MJ/kgDM</t>
  </si>
  <si>
    <t>Concentration of metabolizable energy</t>
  </si>
  <si>
    <t>Concentration of ash</t>
  </si>
  <si>
    <t>Nitrate concentration</t>
  </si>
  <si>
    <t>Dry matter digestibility</t>
  </si>
  <si>
    <t>Boolean</t>
  </si>
  <si>
    <t>Is true if this item can be used as bedding</t>
  </si>
  <si>
    <t>kg DM/day</t>
  </si>
  <si>
    <t>MJ/kg DM</t>
  </si>
  <si>
    <t>MJ/day</t>
  </si>
  <si>
    <t>NO MORE FEEDS!</t>
  </si>
  <si>
    <t>Liveweight</t>
  </si>
  <si>
    <t>Growth</t>
  </si>
  <si>
    <t>kg</t>
  </si>
  <si>
    <t>kg/day</t>
  </si>
  <si>
    <t>Maintenance energy</t>
  </si>
  <si>
    <t>km</t>
  </si>
  <si>
    <t>DMI</t>
  </si>
  <si>
    <t>ME</t>
  </si>
  <si>
    <t>kl</t>
  </si>
  <si>
    <t>Age</t>
  </si>
  <si>
    <t>years</t>
  </si>
  <si>
    <t>MJ/kg BWG</t>
  </si>
  <si>
    <t>Growth energy/growth</t>
  </si>
  <si>
    <t>MJ/day or kg/day</t>
  </si>
  <si>
    <t>Milk production</t>
  </si>
  <si>
    <t>% fat in milk</t>
  </si>
  <si>
    <t>MJ/kg milk</t>
  </si>
  <si>
    <t>Output Directory</t>
  </si>
  <si>
    <t>Group number</t>
  </si>
  <si>
    <t>Required growth</t>
  </si>
  <si>
    <t>Actual growth</t>
  </si>
  <si>
    <t>k:\NJH\Jordi\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</si>
</sst>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NewDataSet">
        <xsd:complexType>
          <xsd:sequence minOccurs="0">
            <xsd:element minOccurs="0" maxOccurs="unbounded" nillable="true" name="feedItem" form="unqualified">
              <xsd:complexType>
                <xsd:sequence minOccurs="0">
                  <xsd:element minOccurs="0" nillable="true" type="xsd:integer" name="Identity" form="unqualified"/>
                  <xsd:element minOccurs="0" nillable="true" type="xsd:string" name="Name" form="unqualified"/>
                  <xsd:element minOccurs="0" nillable="true" type="xsd:integer" name="FeedCode" form="unqualified"/>
                  <xsd:element minOccurs="0" nillable="true" name="Main" form="unqualified">
                    <xsd:complexType>
                      <xsd:sequence minOccurs="0">
                        <xsd:element minOccurs="0" nillable="true" type="xsd:integer" name="Identity" form="unqualified"/>
                        <xsd:element minOccurs="0" nillable="true" type="xsd:boolean" name="Value" form="unqualified"/>
                        <xsd:element minOccurs="0" nillable="true" type="xsd:string" name="Unit" form="unqualified"/>
                        <xsd:element minOccurs="0" nillable="true" type="xsd:string" name="Description" form="unqualified"/>
                        <xsd:element minOccurs="0" nillable="true" type="xsd:integer" name="FeedCode" form="unqualified"/>
                      </xsd:sequence>
                    </xsd:complexType>
                  </xsd:element>
                  <xsd:element minOccurs="0" nillable="true" name="Fibre_concentration" form="unqualified">
                    <xsd:complexType>
                      <xsd:sequence minOccurs="0">
                        <xsd:element minOccurs="0" nillable="true" type="xsd:integer" name="Identity" form="unqualified"/>
                        <xsd:element minOccurs="0" nillable="true" type="xsd:double" name="Value" form="unqualified"/>
                        <xsd:element minOccurs="0" nillable="true" type="xsd:string" name="Unit" form="unqualified"/>
                        <xsd:element minOccurs="0" nillable="true" type="xsd:integer" name="FeedCode" form="unqualified"/>
                        <xsd:element minOccurs="0" nillable="true" type="xsd:string" name="Description" form="unqualified"/>
                      </xsd:sequence>
                    </xsd:complexType>
                  </xsd:element>
                  <xsd:element minOccurs="0" nillable="true" name="NFE_concentration" form="unqualified">
                    <xsd:complexType>
                      <xsd:all>
                        <xsd:element minOccurs="0" nillable="true" type="xsd:integer" name="Identity" form="unqualified"/>
                        <xsd:element minOccurs="0" nillable="true" type="xsd:double" name="Value" form="unqualified"/>
                        <xsd:element minOccurs="0" nillable="true" type="xsd:string" name="Unit" form="unqualified"/>
                        <xsd:element minOccurs="0" nillable="true" type="xsd:integer" name="FeedCode" form="unqualified"/>
                        <xsd:element minOccurs="0" nillable="true" type="xsd:string" name="Description" form="unqualified"/>
                      </xsd:all>
                    </xsd:complexType>
                  </xsd:element>
                  <xsd:element minOccurs="0" nillable="true" name="CrudeProtein_concentration" form="unqualified">
                    <xsd:complexType>
                      <xsd:sequence minOccurs="0">
                        <xsd:element minOccurs="0" nillable="true" type="xsd:integer" name="Identity" form="unqualified"/>
                        <xsd:element minOccurs="0" nillable="true" type="xsd:double" name="Value" form="unqualified"/>
                        <xsd:element minOccurs="0" nillable="true" type="xsd:string" name="Unit" form="unqualified"/>
                        <xsd:element minOccurs="0" nillable="true" type="xsd:integer" name="FeedCode" form="unqualified"/>
                        <xsd:element minOccurs="0" nillable="true" type="xsd:string" name="Description" form="unqualified"/>
                      </xsd:sequence>
                    </xsd:complexType>
                  </xsd:element>
                  <xsd:element minOccurs="0" nillable="true" name="Fat_concentration" form="unqualified">
                    <xsd:complexType>
                      <xsd:all>
                        <xsd:element minOccurs="0" nillable="true" type="xsd:integer" name="Identity" form="unqualified"/>
                        <xsd:element minOccurs="0" nillable="true" type="xsd:double" name="Value" form="unqualified"/>
                        <xsd:element minOccurs="0" nillable="true" type="xsd:string" name="Unit" form="unqualified"/>
                        <xsd:element minOccurs="0" nillable="true" type="xsd:integer" name="FeedCode" form="unqualified"/>
                        <xsd:element minOccurs="0" nillable="true" type="xsd:string" name="Description" form="unqualified"/>
                      </xsd:all>
                    </xsd:complexType>
                  </xsd:element>
                  <xsd:element minOccurs="0" nillable="true" name="Energy_concentration" form="unqualified">
                    <xsd:complexType>
                      <xsd:sequence minOccurs="0">
                        <xsd:element minOccurs="0" nillable="true" type="xsd:integer" name="Identity" form="unqualified"/>
                        <xsd:element minOccurs="0" nillable="true" type="xsd:double" name="Value" form="unqualified"/>
                        <xsd:element minOccurs="0" nillable="true" type="xsd:string" name="Unit" form="unqualified"/>
                        <xsd:element minOccurs="0" nillable="true" type="xsd:integer" name="FeedCode" form="unqualified"/>
                        <xsd:element minOccurs="0" nillable="true" type="xsd:string" name="Description" form="unqualified"/>
                      </xsd:sequence>
                    </xsd:complexType>
                  </xsd:element>
                  <xsd:element minOccurs="0" nillable="true" name="Ash_concentration" form="unqualified">
                    <xsd:complexType>
                      <xsd:sequence minOccurs="0">
                        <xsd:element minOccurs="0" nillable="true" type="xsd:integer" name="Identity" form="unqualified"/>
                        <xsd:element minOccurs="0" nillable="true" type="xsd:double" name="Value" form="unqualified"/>
                        <xsd:element minOccurs="0" nillable="true" type="xsd:string" name="Unit" form="unqualified"/>
                        <xsd:element minOccurs="0" nillable="true" type="xsd:integer" name="FeedCode" form="unqualified"/>
                        <xsd:element minOccurs="0" nillable="true" type="xsd:string" name="Description" form="unqualified"/>
                      </xsd:sequence>
                    </xsd:complexType>
                  </xsd:element>
                  <xsd:element minOccurs="0" nillable="true" name="Nitrate_concentration" form="unqualified">
                    <xsd:complexType>
                      <xsd:sequence minOccurs="0">
                        <xsd:element minOccurs="0" nillable="true" type="xsd:integer" name="Identity" form="unqualified"/>
                        <xsd:element minOccurs="0" nillable="true" type="xsd:double" name="Value" form="unqualified"/>
                        <xsd:element minOccurs="0" nillable="true" type="xsd:string" name="Unit" form="unqualified"/>
                        <xsd:element minOccurs="0" nillable="true" type="xsd:integer" name="FeedCode" form="unqualified"/>
                        <xsd:element minOccurs="0" nillable="true" type="xsd:string" name="Description" form="unqualified"/>
                      </xsd:sequence>
                    </xsd:complexType>
                  </xsd:element>
                  <xsd:element minOccurs="0" nillable="true" name="DMDigestibility" form="unqualified">
                    <xsd:complexType>
                      <xsd:all>
                        <xsd:element minOccurs="0" nillable="true" type="xsd:integer" name="Identity" form="unqualified"/>
                        <xsd:element minOccurs="0" nillable="true" type="xsd:double" name="Value" form="unqualified"/>
                        <xsd:element minOccurs="0" nillable="true" type="xsd:string" name="Unit" form="unqualified"/>
                        <xsd:element minOccurs="0" nillable="true" type="xsd:integer" name="FeedCode" form="unqualified"/>
                        <xsd:element minOccurs="0" nillable="true" type="xsd:string" name="Description" form="unqualified"/>
                      </xsd:all>
                    </xsd:complexType>
                  </xsd:element>
                  <xsd:element minOccurs="0" nillable="true" name="Bedding_material" form="unqualified">
                    <xsd:complexType>
                      <xsd:sequence minOccurs="0">
                        <xsd:element minOccurs="0" nillable="true" type="xsd:integer" name="Identity" form="unqualified"/>
                        <xsd:element minOccurs="0" nillable="true" type="xsd:boolean" name="Value" form="unqualified"/>
                        <xsd:element minOccurs="0" nillable="true" type="xsd:string" name="Unit" form="unqualified"/>
                        <xsd:element minOccurs="0" nillable="true" type="xsd:integer" name="FeedCode" form="unqualified"/>
                        <xsd:element minOccurs="0" nillable="true" type="xsd:string" name="Description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NewDataSet_Map" RootElement="NewDataSe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2</xdr:row>
          <xdr:rowOff>171450</xdr:rowOff>
        </xdr:from>
        <xdr:to>
          <xdr:col>3</xdr:col>
          <xdr:colOff>485775</xdr:colOff>
          <xdr:row>4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FASSET file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32</xdr:row>
          <xdr:rowOff>142875</xdr:rowOff>
        </xdr:from>
        <xdr:to>
          <xdr:col>4</xdr:col>
          <xdr:colOff>581025</xdr:colOff>
          <xdr:row>34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32</xdr:row>
          <xdr:rowOff>142875</xdr:rowOff>
        </xdr:from>
        <xdr:to>
          <xdr:col>4</xdr:col>
          <xdr:colOff>581025</xdr:colOff>
          <xdr:row>34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32</xdr:row>
          <xdr:rowOff>142875</xdr:rowOff>
        </xdr:from>
        <xdr:to>
          <xdr:col>4</xdr:col>
          <xdr:colOff>581025</xdr:colOff>
          <xdr:row>34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32</xdr:row>
          <xdr:rowOff>161925</xdr:rowOff>
        </xdr:from>
        <xdr:to>
          <xdr:col>3</xdr:col>
          <xdr:colOff>533400</xdr:colOff>
          <xdr:row>34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32</xdr:row>
          <xdr:rowOff>161925</xdr:rowOff>
        </xdr:from>
        <xdr:to>
          <xdr:col>3</xdr:col>
          <xdr:colOff>533400</xdr:colOff>
          <xdr:row>34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32</xdr:row>
          <xdr:rowOff>161925</xdr:rowOff>
        </xdr:from>
        <xdr:to>
          <xdr:col>3</xdr:col>
          <xdr:colOff>533400</xdr:colOff>
          <xdr:row>34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32</xdr:row>
          <xdr:rowOff>161925</xdr:rowOff>
        </xdr:from>
        <xdr:to>
          <xdr:col>3</xdr:col>
          <xdr:colOff>533400</xdr:colOff>
          <xdr:row>34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32</xdr:row>
          <xdr:rowOff>161925</xdr:rowOff>
        </xdr:from>
        <xdr:to>
          <xdr:col>3</xdr:col>
          <xdr:colOff>533400</xdr:colOff>
          <xdr:row>34</xdr:row>
          <xdr:rowOff>19050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BA253" tableType="xml" totalsRowShown="0" connectionId="1">
  <autoFilter ref="A1:BA253"/>
  <sortState ref="A2:BA253">
    <sortCondition ref="B1:B253"/>
  </sortState>
  <tableColumns count="53">
    <tableColumn id="1" uniqueName="Identity" name="Identity">
      <xmlColumnPr mapId="1" xpath="/NewDataSet/feedItem/Identity" xmlDataType="integer"/>
    </tableColumn>
    <tableColumn id="2" uniqueName="Name" name="Name">
      <xmlColumnPr mapId="1" xpath="/NewDataSet/feedItem/Name" xmlDataType="string"/>
    </tableColumn>
    <tableColumn id="3" uniqueName="FeedCode" name="FeedCode">
      <xmlColumnPr mapId="1" xpath="/NewDataSet/feedItem/FeedCode" xmlDataType="integer"/>
    </tableColumn>
    <tableColumn id="4" uniqueName="Identity" name="Identity2">
      <xmlColumnPr mapId="1" xpath="/NewDataSet/feedItem/Main/Identity" xmlDataType="integer"/>
    </tableColumn>
    <tableColumn id="5" uniqueName="Value" name="Value">
      <xmlColumnPr mapId="1" xpath="/NewDataSet/feedItem/Main/Value" xmlDataType="boolean"/>
    </tableColumn>
    <tableColumn id="6" uniqueName="Unit" name="Unit">
      <xmlColumnPr mapId="1" xpath="/NewDataSet/feedItem/Main/Unit" xmlDataType="string"/>
    </tableColumn>
    <tableColumn id="7" uniqueName="Description" name="Description">
      <xmlColumnPr mapId="1" xpath="/NewDataSet/feedItem/Main/Description" xmlDataType="string"/>
    </tableColumn>
    <tableColumn id="8" uniqueName="FeedCode" name="FeedCode3">
      <xmlColumnPr mapId="1" xpath="/NewDataSet/feedItem/Main/FeedCode" xmlDataType="integer"/>
    </tableColumn>
    <tableColumn id="9" uniqueName="Identity" name="Identity4">
      <xmlColumnPr mapId="1" xpath="/NewDataSet/feedItem/Fibre_concentration/Identity" xmlDataType="integer"/>
    </tableColumn>
    <tableColumn id="10" uniqueName="Value" name="Value5">
      <xmlColumnPr mapId="1" xpath="/NewDataSet/feedItem/Fibre_concentration/Value" xmlDataType="double"/>
    </tableColumn>
    <tableColumn id="11" uniqueName="Unit" name="Unit6">
      <xmlColumnPr mapId="1" xpath="/NewDataSet/feedItem/Fibre_concentration/Unit" xmlDataType="string"/>
    </tableColumn>
    <tableColumn id="12" uniqueName="FeedCode" name="FeedCode7">
      <xmlColumnPr mapId="1" xpath="/NewDataSet/feedItem/Fibre_concentration/FeedCode" xmlDataType="integer"/>
    </tableColumn>
    <tableColumn id="13" uniqueName="Description" name="Description8">
      <xmlColumnPr mapId="1" xpath="/NewDataSet/feedItem/Fibre_concentration/Description" xmlDataType="string"/>
    </tableColumn>
    <tableColumn id="14" uniqueName="Identity" name="Identity9">
      <xmlColumnPr mapId="1" xpath="/NewDataSet/feedItem/NFE_concentration/Identity" xmlDataType="integer"/>
    </tableColumn>
    <tableColumn id="15" uniqueName="Value" name="Value10">
      <xmlColumnPr mapId="1" xpath="/NewDataSet/feedItem/NFE_concentration/Value" xmlDataType="double"/>
    </tableColumn>
    <tableColumn id="16" uniqueName="Unit" name="Unit11">
      <xmlColumnPr mapId="1" xpath="/NewDataSet/feedItem/NFE_concentration/Unit" xmlDataType="string"/>
    </tableColumn>
    <tableColumn id="17" uniqueName="FeedCode" name="FeedCode12">
      <xmlColumnPr mapId="1" xpath="/NewDataSet/feedItem/NFE_concentration/FeedCode" xmlDataType="integer"/>
    </tableColumn>
    <tableColumn id="18" uniqueName="Description" name="Description13">
      <xmlColumnPr mapId="1" xpath="/NewDataSet/feedItem/NFE_concentration/Description" xmlDataType="string"/>
    </tableColumn>
    <tableColumn id="19" uniqueName="Identity" name="Identity14">
      <xmlColumnPr mapId="1" xpath="/NewDataSet/feedItem/CrudeProtein_concentration/Identity" xmlDataType="integer"/>
    </tableColumn>
    <tableColumn id="20" uniqueName="Value" name="Value15">
      <xmlColumnPr mapId="1" xpath="/NewDataSet/feedItem/CrudeProtein_concentration/Value" xmlDataType="double"/>
    </tableColumn>
    <tableColumn id="21" uniqueName="Unit" name="Unit16">
      <xmlColumnPr mapId="1" xpath="/NewDataSet/feedItem/CrudeProtein_concentration/Unit" xmlDataType="string"/>
    </tableColumn>
    <tableColumn id="22" uniqueName="FeedCode" name="FeedCode17">
      <xmlColumnPr mapId="1" xpath="/NewDataSet/feedItem/CrudeProtein_concentration/FeedCode" xmlDataType="integer"/>
    </tableColumn>
    <tableColumn id="23" uniqueName="Description" name="Description18">
      <xmlColumnPr mapId="1" xpath="/NewDataSet/feedItem/CrudeProtein_concentration/Description" xmlDataType="string"/>
    </tableColumn>
    <tableColumn id="24" uniqueName="Identity" name="Identity19">
      <xmlColumnPr mapId="1" xpath="/NewDataSet/feedItem/Fat_concentration/Identity" xmlDataType="integer"/>
    </tableColumn>
    <tableColumn id="25" uniqueName="Value" name="Value20">
      <xmlColumnPr mapId="1" xpath="/NewDataSet/feedItem/Fat_concentration/Value" xmlDataType="double"/>
    </tableColumn>
    <tableColumn id="26" uniqueName="Unit" name="Unit21">
      <xmlColumnPr mapId="1" xpath="/NewDataSet/feedItem/Fat_concentration/Unit" xmlDataType="string"/>
    </tableColumn>
    <tableColumn id="27" uniqueName="FeedCode" name="FeedCode22">
      <xmlColumnPr mapId="1" xpath="/NewDataSet/feedItem/Fat_concentration/FeedCode" xmlDataType="integer"/>
    </tableColumn>
    <tableColumn id="28" uniqueName="Description" name="Description23">
      <xmlColumnPr mapId="1" xpath="/NewDataSet/feedItem/Fat_concentration/Description" xmlDataType="string"/>
    </tableColumn>
    <tableColumn id="29" uniqueName="Identity" name="Identity24">
      <xmlColumnPr mapId="1" xpath="/NewDataSet/feedItem/Energy_concentration/Identity" xmlDataType="integer"/>
    </tableColumn>
    <tableColumn id="30" uniqueName="Value" name="Value25">
      <xmlColumnPr mapId="1" xpath="/NewDataSet/feedItem/Energy_concentration/Value" xmlDataType="double"/>
    </tableColumn>
    <tableColumn id="31" uniqueName="Unit" name="Unit26">
      <xmlColumnPr mapId="1" xpath="/NewDataSet/feedItem/Energy_concentration/Unit" xmlDataType="string"/>
    </tableColumn>
    <tableColumn id="32" uniqueName="FeedCode" name="FeedCode27">
      <xmlColumnPr mapId="1" xpath="/NewDataSet/feedItem/Energy_concentration/FeedCode" xmlDataType="integer"/>
    </tableColumn>
    <tableColumn id="33" uniqueName="Description" name="Description28">
      <xmlColumnPr mapId="1" xpath="/NewDataSet/feedItem/Energy_concentration/Description" xmlDataType="string"/>
    </tableColumn>
    <tableColumn id="34" uniqueName="Identity" name="Identity29">
      <xmlColumnPr mapId="1" xpath="/NewDataSet/feedItem/Ash_concentration/Identity" xmlDataType="integer"/>
    </tableColumn>
    <tableColumn id="35" uniqueName="Value" name="Value30">
      <xmlColumnPr mapId="1" xpath="/NewDataSet/feedItem/Ash_concentration/Value" xmlDataType="double"/>
    </tableColumn>
    <tableColumn id="36" uniqueName="Unit" name="Unit31">
      <xmlColumnPr mapId="1" xpath="/NewDataSet/feedItem/Ash_concentration/Unit" xmlDataType="string"/>
    </tableColumn>
    <tableColumn id="37" uniqueName="FeedCode" name="FeedCode32">
      <xmlColumnPr mapId="1" xpath="/NewDataSet/feedItem/Ash_concentration/FeedCode" xmlDataType="integer"/>
    </tableColumn>
    <tableColumn id="38" uniqueName="Description" name="Description33">
      <xmlColumnPr mapId="1" xpath="/NewDataSet/feedItem/Ash_concentration/Description" xmlDataType="string"/>
    </tableColumn>
    <tableColumn id="39" uniqueName="Identity" name="Identity34">
      <xmlColumnPr mapId="1" xpath="/NewDataSet/feedItem/Nitrate_concentration/Identity" xmlDataType="integer"/>
    </tableColumn>
    <tableColumn id="40" uniqueName="Value" name="Value35">
      <xmlColumnPr mapId="1" xpath="/NewDataSet/feedItem/Nitrate_concentration/Value" xmlDataType="double"/>
    </tableColumn>
    <tableColumn id="41" uniqueName="Unit" name="Unit36">
      <xmlColumnPr mapId="1" xpath="/NewDataSet/feedItem/Nitrate_concentration/Unit" xmlDataType="string"/>
    </tableColumn>
    <tableColumn id="42" uniqueName="FeedCode" name="FeedCode37">
      <xmlColumnPr mapId="1" xpath="/NewDataSet/feedItem/Nitrate_concentration/FeedCode" xmlDataType="integer"/>
    </tableColumn>
    <tableColumn id="43" uniqueName="Description" name="Description38">
      <xmlColumnPr mapId="1" xpath="/NewDataSet/feedItem/Nitrate_concentration/Description" xmlDataType="string"/>
    </tableColumn>
    <tableColumn id="44" uniqueName="Identity" name="Identity39">
      <xmlColumnPr mapId="1" xpath="/NewDataSet/feedItem/DMDigestibility/Identity" xmlDataType="integer"/>
    </tableColumn>
    <tableColumn id="45" uniqueName="Value" name="Value40">
      <xmlColumnPr mapId="1" xpath="/NewDataSet/feedItem/DMDigestibility/Value" xmlDataType="double"/>
    </tableColumn>
    <tableColumn id="46" uniqueName="Unit" name="Unit41">
      <xmlColumnPr mapId="1" xpath="/NewDataSet/feedItem/DMDigestibility/Unit" xmlDataType="string"/>
    </tableColumn>
    <tableColumn id="47" uniqueName="FeedCode" name="FeedCode42">
      <xmlColumnPr mapId="1" xpath="/NewDataSet/feedItem/DMDigestibility/FeedCode" xmlDataType="integer"/>
    </tableColumn>
    <tableColumn id="48" uniqueName="Description" name="Description43">
      <xmlColumnPr mapId="1" xpath="/NewDataSet/feedItem/DMDigestibility/Description" xmlDataType="string"/>
    </tableColumn>
    <tableColumn id="49" uniqueName="Identity" name="Identity44">
      <xmlColumnPr mapId="1" xpath="/NewDataSet/feedItem/Bedding_material/Identity" xmlDataType="integer"/>
    </tableColumn>
    <tableColumn id="50" uniqueName="Value" name="Value45">
      <xmlColumnPr mapId="1" xpath="/NewDataSet/feedItem/Bedding_material/Value" xmlDataType="boolean"/>
    </tableColumn>
    <tableColumn id="51" uniqueName="Unit" name="Unit46">
      <xmlColumnPr mapId="1" xpath="/NewDataSet/feedItem/Bedding_material/Unit" xmlDataType="string"/>
    </tableColumn>
    <tableColumn id="52" uniqueName="FeedCode" name="FeedCode47">
      <xmlColumnPr mapId="1" xpath="/NewDataSet/feedItem/Bedding_material/FeedCode" xmlDataType="integer"/>
    </tableColumn>
    <tableColumn id="53" uniqueName="Description" name="Description48">
      <xmlColumnPr mapId="1" xpath="/NewDataSet/feedItem/Bedding_material/Description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1"/>
  <sheetViews>
    <sheetView topLeftCell="A16" workbookViewId="0">
      <selection activeCell="E2" sqref="E2"/>
    </sheetView>
  </sheetViews>
  <sheetFormatPr defaultRowHeight="15" x14ac:dyDescent="0.25"/>
  <sheetData>
    <row r="1" spans="1:3" x14ac:dyDescent="0.25">
      <c r="A1" t="s">
        <v>339</v>
      </c>
      <c r="C1" s="2" t="s">
        <v>343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writeallCattleFeedData">
                <anchor moveWithCells="1">
                  <from>
                    <xdr:col>0</xdr:col>
                    <xdr:colOff>400050</xdr:colOff>
                    <xdr:row>2</xdr:row>
                    <xdr:rowOff>171450</xdr:rowOff>
                  </from>
                  <to>
                    <xdr:col>3</xdr:col>
                    <xdr:colOff>485775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253"/>
  <sheetViews>
    <sheetView topLeftCell="A82" workbookViewId="0">
      <selection activeCell="C2" sqref="C2"/>
    </sheetView>
  </sheetViews>
  <sheetFormatPr defaultRowHeight="15" x14ac:dyDescent="0.25"/>
  <cols>
    <col min="1" max="1" width="10.28515625" bestFit="1" customWidth="1"/>
    <col min="2" max="2" width="58.42578125" bestFit="1" customWidth="1"/>
    <col min="3" max="3" width="12.28515625" bestFit="1" customWidth="1"/>
    <col min="4" max="4" width="1" customWidth="1"/>
    <col min="5" max="5" width="1.42578125" customWidth="1"/>
    <col min="6" max="6" width="1.85546875" customWidth="1"/>
    <col min="7" max="7" width="1.140625" customWidth="1"/>
    <col min="8" max="8" width="8.28515625" customWidth="1"/>
    <col min="9" max="9" width="1" customWidth="1"/>
    <col min="10" max="10" width="11" bestFit="1" customWidth="1"/>
    <col min="11" max="11" width="8.85546875" bestFit="1" customWidth="1"/>
    <col min="12" max="12" width="13.28515625" bestFit="1" customWidth="1"/>
    <col min="13" max="13" width="46.42578125" bestFit="1" customWidth="1"/>
    <col min="14" max="14" width="11.28515625" bestFit="1" customWidth="1"/>
    <col min="15" max="15" width="11" bestFit="1" customWidth="1"/>
    <col min="16" max="16" width="9.140625" bestFit="1" customWidth="1"/>
    <col min="17" max="17" width="14.28515625" bestFit="1" customWidth="1"/>
    <col min="18" max="18" width="53.28515625" bestFit="1" customWidth="1"/>
    <col min="19" max="19" width="12.28515625" bestFit="1" customWidth="1"/>
    <col min="20" max="20" width="11" bestFit="1" customWidth="1"/>
    <col min="21" max="21" width="9.140625" bestFit="1" customWidth="1"/>
    <col min="22" max="22" width="14.28515625" bestFit="1" customWidth="1"/>
    <col min="23" max="23" width="63.140625" bestFit="1" customWidth="1"/>
    <col min="24" max="24" width="12.28515625" bestFit="1" customWidth="1"/>
    <col min="25" max="25" width="11" bestFit="1" customWidth="1"/>
    <col min="26" max="26" width="9.140625" bestFit="1" customWidth="1"/>
    <col min="27" max="27" width="14.28515625" bestFit="1" customWidth="1"/>
    <col min="28" max="28" width="19" bestFit="1" customWidth="1"/>
    <col min="29" max="29" width="12.28515625" bestFit="1" customWidth="1"/>
    <col min="30" max="30" width="10.42578125" bestFit="1" customWidth="1"/>
    <col min="31" max="31" width="9.28515625" bestFit="1" customWidth="1"/>
    <col min="32" max="32" width="14.28515625" bestFit="1" customWidth="1"/>
    <col min="33" max="33" width="36.42578125" bestFit="1" customWidth="1"/>
    <col min="34" max="34" width="12.28515625" bestFit="1" customWidth="1"/>
    <col min="35" max="35" width="10.42578125" bestFit="1" customWidth="1"/>
    <col min="36" max="36" width="9.140625" bestFit="1" customWidth="1"/>
    <col min="37" max="37" width="14.28515625" bestFit="1" customWidth="1"/>
    <col min="38" max="38" width="19.5703125" bestFit="1" customWidth="1"/>
    <col min="39" max="39" width="12.28515625" bestFit="1" customWidth="1"/>
    <col min="40" max="40" width="10.42578125" bestFit="1" customWidth="1"/>
    <col min="41" max="41" width="9.140625" bestFit="1" customWidth="1"/>
    <col min="42" max="42" width="14.28515625" bestFit="1" customWidth="1"/>
    <col min="43" max="43" width="20.28515625" bestFit="1" customWidth="1"/>
    <col min="44" max="44" width="12.28515625" bestFit="1" customWidth="1"/>
    <col min="45" max="45" width="10.42578125" bestFit="1" customWidth="1"/>
    <col min="46" max="46" width="9.140625" bestFit="1" customWidth="1"/>
    <col min="47" max="47" width="14.28515625" bestFit="1" customWidth="1"/>
    <col min="48" max="48" width="21.85546875" bestFit="1" customWidth="1"/>
    <col min="49" max="49" width="12.28515625" bestFit="1" customWidth="1"/>
    <col min="50" max="50" width="10.42578125" bestFit="1" customWidth="1"/>
    <col min="51" max="51" width="9.140625" bestFit="1" customWidth="1"/>
    <col min="52" max="52" width="14.28515625" bestFit="1" customWidth="1"/>
    <col min="53" max="53" width="38.42578125" bestFit="1" customWidth="1"/>
  </cols>
  <sheetData>
    <row r="1" spans="1:53" x14ac:dyDescent="0.25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</row>
    <row r="2" spans="1:53" x14ac:dyDescent="0.25">
      <c r="A2">
        <v>97</v>
      </c>
      <c r="B2" s="1" t="s">
        <v>149</v>
      </c>
      <c r="C2">
        <v>310</v>
      </c>
      <c r="D2">
        <v>22.264990000000001</v>
      </c>
      <c r="E2" t="b">
        <v>0</v>
      </c>
      <c r="F2" s="1">
        <v>310</v>
      </c>
      <c r="G2" s="1" t="s">
        <v>305</v>
      </c>
      <c r="H2">
        <v>310</v>
      </c>
      <c r="I2">
        <v>1</v>
      </c>
      <c r="J2">
        <v>0</v>
      </c>
      <c r="K2" s="1" t="s">
        <v>306</v>
      </c>
      <c r="L2">
        <v>310</v>
      </c>
      <c r="M2" s="1" t="s">
        <v>307</v>
      </c>
      <c r="N2">
        <v>1</v>
      </c>
      <c r="O2">
        <v>0.21</v>
      </c>
      <c r="P2" s="1" t="s">
        <v>306</v>
      </c>
      <c r="Q2">
        <v>310</v>
      </c>
      <c r="R2" s="1" t="s">
        <v>308</v>
      </c>
      <c r="S2">
        <v>1</v>
      </c>
      <c r="T2">
        <v>0.39</v>
      </c>
      <c r="U2" s="1" t="s">
        <v>306</v>
      </c>
      <c r="V2">
        <v>310</v>
      </c>
      <c r="W2" s="1" t="s">
        <v>309</v>
      </c>
      <c r="X2">
        <v>1</v>
      </c>
      <c r="Y2">
        <v>0.32</v>
      </c>
      <c r="Z2" s="1" t="s">
        <v>306</v>
      </c>
      <c r="AA2">
        <v>310</v>
      </c>
      <c r="AB2" s="1" t="s">
        <v>310</v>
      </c>
      <c r="AC2">
        <v>1</v>
      </c>
      <c r="AD2">
        <v>22.264990000000001</v>
      </c>
      <c r="AE2" s="1" t="s">
        <v>311</v>
      </c>
      <c r="AF2">
        <v>310</v>
      </c>
      <c r="AG2" s="1" t="s">
        <v>312</v>
      </c>
      <c r="AH2">
        <v>1</v>
      </c>
      <c r="AI2">
        <v>0.08</v>
      </c>
      <c r="AJ2" s="1" t="s">
        <v>306</v>
      </c>
      <c r="AK2">
        <v>310</v>
      </c>
      <c r="AL2" s="1" t="s">
        <v>313</v>
      </c>
      <c r="AM2">
        <v>1</v>
      </c>
      <c r="AN2">
        <v>0</v>
      </c>
      <c r="AO2" s="1" t="s">
        <v>306</v>
      </c>
      <c r="AP2">
        <v>310</v>
      </c>
      <c r="AQ2" s="1" t="s">
        <v>314</v>
      </c>
      <c r="AR2">
        <v>1</v>
      </c>
      <c r="AS2">
        <v>0.95</v>
      </c>
      <c r="AT2" s="1" t="s">
        <v>306</v>
      </c>
      <c r="AU2">
        <v>310</v>
      </c>
      <c r="AV2" s="1" t="s">
        <v>315</v>
      </c>
      <c r="AW2">
        <v>1</v>
      </c>
      <c r="AX2" t="b">
        <v>0</v>
      </c>
      <c r="AY2" s="1" t="s">
        <v>316</v>
      </c>
      <c r="AZ2">
        <v>310</v>
      </c>
      <c r="BA2" s="1" t="s">
        <v>317</v>
      </c>
    </row>
    <row r="3" spans="1:53" x14ac:dyDescent="0.25">
      <c r="A3">
        <v>204</v>
      </c>
      <c r="B3" s="1" t="s">
        <v>256</v>
      </c>
      <c r="C3">
        <v>596</v>
      </c>
      <c r="D3">
        <v>1</v>
      </c>
      <c r="E3" t="b">
        <v>1</v>
      </c>
      <c r="F3" s="1" t="s">
        <v>304</v>
      </c>
      <c r="G3" s="1" t="s">
        <v>305</v>
      </c>
      <c r="H3">
        <v>596</v>
      </c>
      <c r="I3">
        <v>1</v>
      </c>
      <c r="J3">
        <v>0.22500000000000001</v>
      </c>
      <c r="K3" s="1" t="s">
        <v>306</v>
      </c>
      <c r="L3">
        <v>596</v>
      </c>
      <c r="M3" s="1" t="s">
        <v>307</v>
      </c>
      <c r="N3">
        <v>1</v>
      </c>
      <c r="O3">
        <v>0.24199999999999999</v>
      </c>
      <c r="P3" s="1" t="s">
        <v>306</v>
      </c>
      <c r="Q3">
        <v>596</v>
      </c>
      <c r="R3" s="1" t="s">
        <v>308</v>
      </c>
      <c r="S3">
        <v>1</v>
      </c>
      <c r="T3">
        <v>0.111</v>
      </c>
      <c r="U3" s="1" t="s">
        <v>306</v>
      </c>
      <c r="V3">
        <v>596</v>
      </c>
      <c r="W3" s="1" t="s">
        <v>309</v>
      </c>
      <c r="X3">
        <v>1</v>
      </c>
      <c r="Y3">
        <v>0.02</v>
      </c>
      <c r="Z3" s="1" t="s">
        <v>306</v>
      </c>
      <c r="AA3">
        <v>596</v>
      </c>
      <c r="AB3" s="1" t="s">
        <v>310</v>
      </c>
      <c r="AC3">
        <v>1</v>
      </c>
      <c r="AD3">
        <v>12.139609999999999</v>
      </c>
      <c r="AE3" s="1" t="s">
        <v>311</v>
      </c>
      <c r="AF3">
        <v>596</v>
      </c>
      <c r="AG3" s="1" t="s">
        <v>312</v>
      </c>
      <c r="AH3">
        <v>1</v>
      </c>
      <c r="AI3">
        <v>5.8999999999999997E-2</v>
      </c>
      <c r="AJ3" s="1" t="s">
        <v>306</v>
      </c>
      <c r="AK3">
        <v>596</v>
      </c>
      <c r="AL3" s="1" t="s">
        <v>313</v>
      </c>
      <c r="AM3">
        <v>1</v>
      </c>
      <c r="AN3">
        <v>0</v>
      </c>
      <c r="AO3" s="1" t="s">
        <v>306</v>
      </c>
      <c r="AP3">
        <v>596</v>
      </c>
      <c r="AQ3" s="1" t="s">
        <v>314</v>
      </c>
      <c r="AR3">
        <v>1</v>
      </c>
      <c r="AS3">
        <v>0.70499999999999996</v>
      </c>
      <c r="AT3" s="1" t="s">
        <v>306</v>
      </c>
      <c r="AU3">
        <v>596</v>
      </c>
      <c r="AV3" s="1" t="s">
        <v>315</v>
      </c>
      <c r="AW3">
        <v>1</v>
      </c>
      <c r="AX3" t="b">
        <v>0</v>
      </c>
      <c r="AY3" s="1" t="s">
        <v>316</v>
      </c>
      <c r="AZ3">
        <v>596</v>
      </c>
      <c r="BA3" s="1" t="s">
        <v>317</v>
      </c>
    </row>
    <row r="4" spans="1:53" x14ac:dyDescent="0.25">
      <c r="A4">
        <v>206</v>
      </c>
      <c r="B4" s="1" t="s">
        <v>258</v>
      </c>
      <c r="C4">
        <v>598</v>
      </c>
      <c r="D4">
        <v>1</v>
      </c>
      <c r="E4" t="b">
        <v>1</v>
      </c>
      <c r="F4" s="1" t="s">
        <v>304</v>
      </c>
      <c r="G4" s="1" t="s">
        <v>305</v>
      </c>
      <c r="H4">
        <v>598</v>
      </c>
      <c r="I4">
        <v>1</v>
      </c>
      <c r="J4">
        <v>0.22800000000000001</v>
      </c>
      <c r="K4" s="1" t="s">
        <v>306</v>
      </c>
      <c r="L4">
        <v>598</v>
      </c>
      <c r="M4" s="1" t="s">
        <v>307</v>
      </c>
      <c r="N4">
        <v>1</v>
      </c>
      <c r="O4">
        <v>0.221</v>
      </c>
      <c r="P4" s="1" t="s">
        <v>306</v>
      </c>
      <c r="Q4">
        <v>598</v>
      </c>
      <c r="R4" s="1" t="s">
        <v>308</v>
      </c>
      <c r="S4">
        <v>1</v>
      </c>
      <c r="T4">
        <v>0.13200000000000001</v>
      </c>
      <c r="U4" s="1" t="s">
        <v>306</v>
      </c>
      <c r="V4">
        <v>598</v>
      </c>
      <c r="W4" s="1" t="s">
        <v>309</v>
      </c>
      <c r="X4">
        <v>1</v>
      </c>
      <c r="Y4">
        <v>0.02</v>
      </c>
      <c r="Z4" s="1" t="s">
        <v>306</v>
      </c>
      <c r="AA4">
        <v>598</v>
      </c>
      <c r="AB4" s="1" t="s">
        <v>310</v>
      </c>
      <c r="AC4">
        <v>1</v>
      </c>
      <c r="AD4">
        <v>12.282780000000001</v>
      </c>
      <c r="AE4" s="1" t="s">
        <v>311</v>
      </c>
      <c r="AF4">
        <v>598</v>
      </c>
      <c r="AG4" s="1" t="s">
        <v>312</v>
      </c>
      <c r="AH4">
        <v>1</v>
      </c>
      <c r="AI4">
        <v>6.5000000000000002E-2</v>
      </c>
      <c r="AJ4" s="1" t="s">
        <v>306</v>
      </c>
      <c r="AK4">
        <v>598</v>
      </c>
      <c r="AL4" s="1" t="s">
        <v>313</v>
      </c>
      <c r="AM4">
        <v>1</v>
      </c>
      <c r="AN4">
        <v>0</v>
      </c>
      <c r="AO4" s="1" t="s">
        <v>306</v>
      </c>
      <c r="AP4">
        <v>598</v>
      </c>
      <c r="AQ4" s="1" t="s">
        <v>314</v>
      </c>
      <c r="AR4">
        <v>1</v>
      </c>
      <c r="AS4">
        <v>0.71</v>
      </c>
      <c r="AT4" s="1" t="s">
        <v>306</v>
      </c>
      <c r="AU4">
        <v>598</v>
      </c>
      <c r="AV4" s="1" t="s">
        <v>315</v>
      </c>
      <c r="AW4">
        <v>1</v>
      </c>
      <c r="AX4" t="b">
        <v>0</v>
      </c>
      <c r="AY4" s="1" t="s">
        <v>316</v>
      </c>
      <c r="AZ4">
        <v>598</v>
      </c>
      <c r="BA4" s="1" t="s">
        <v>317</v>
      </c>
    </row>
    <row r="5" spans="1:53" x14ac:dyDescent="0.25">
      <c r="A5">
        <v>208</v>
      </c>
      <c r="B5" s="1" t="s">
        <v>260</v>
      </c>
      <c r="C5">
        <v>600</v>
      </c>
      <c r="D5">
        <v>1</v>
      </c>
      <c r="E5" t="b">
        <v>1</v>
      </c>
      <c r="F5" s="1" t="s">
        <v>304</v>
      </c>
      <c r="G5" s="1" t="s">
        <v>305</v>
      </c>
      <c r="H5">
        <v>600</v>
      </c>
      <c r="I5">
        <v>1</v>
      </c>
      <c r="J5">
        <v>0.22900000000000001</v>
      </c>
      <c r="K5" s="1" t="s">
        <v>306</v>
      </c>
      <c r="L5">
        <v>600</v>
      </c>
      <c r="M5" s="1" t="s">
        <v>307</v>
      </c>
      <c r="N5">
        <v>1</v>
      </c>
      <c r="O5">
        <v>0.20100000000000001</v>
      </c>
      <c r="P5" s="1" t="s">
        <v>306</v>
      </c>
      <c r="Q5">
        <v>600</v>
      </c>
      <c r="R5" s="1" t="s">
        <v>308</v>
      </c>
      <c r="S5">
        <v>1</v>
      </c>
      <c r="T5">
        <v>0.152</v>
      </c>
      <c r="U5" s="1" t="s">
        <v>306</v>
      </c>
      <c r="V5">
        <v>600</v>
      </c>
      <c r="W5" s="1" t="s">
        <v>309</v>
      </c>
      <c r="X5">
        <v>1</v>
      </c>
      <c r="Y5">
        <v>0.02</v>
      </c>
      <c r="Z5" s="1" t="s">
        <v>306</v>
      </c>
      <c r="AA5">
        <v>600</v>
      </c>
      <c r="AB5" s="1" t="s">
        <v>310</v>
      </c>
      <c r="AC5">
        <v>1</v>
      </c>
      <c r="AD5">
        <v>12.39373</v>
      </c>
      <c r="AE5" s="1" t="s">
        <v>311</v>
      </c>
      <c r="AF5">
        <v>600</v>
      </c>
      <c r="AG5" s="1" t="s">
        <v>312</v>
      </c>
      <c r="AH5">
        <v>1</v>
      </c>
      <c r="AI5">
        <v>7.2999999999999995E-2</v>
      </c>
      <c r="AJ5" s="1" t="s">
        <v>306</v>
      </c>
      <c r="AK5">
        <v>600</v>
      </c>
      <c r="AL5" s="1" t="s">
        <v>313</v>
      </c>
      <c r="AM5">
        <v>1</v>
      </c>
      <c r="AN5">
        <v>0</v>
      </c>
      <c r="AO5" s="1" t="s">
        <v>306</v>
      </c>
      <c r="AP5">
        <v>600</v>
      </c>
      <c r="AQ5" s="1" t="s">
        <v>314</v>
      </c>
      <c r="AR5">
        <v>1</v>
      </c>
      <c r="AS5">
        <v>0.71499999999999997</v>
      </c>
      <c r="AT5" s="1" t="s">
        <v>306</v>
      </c>
      <c r="AU5">
        <v>600</v>
      </c>
      <c r="AV5" s="1" t="s">
        <v>315</v>
      </c>
      <c r="AW5">
        <v>1</v>
      </c>
      <c r="AX5" t="b">
        <v>0</v>
      </c>
      <c r="AY5" s="1" t="s">
        <v>316</v>
      </c>
      <c r="AZ5">
        <v>600</v>
      </c>
      <c r="BA5" s="1" t="s">
        <v>317</v>
      </c>
    </row>
    <row r="6" spans="1:53" x14ac:dyDescent="0.25">
      <c r="A6">
        <v>190</v>
      </c>
      <c r="B6" s="1" t="s">
        <v>242</v>
      </c>
      <c r="C6">
        <v>582</v>
      </c>
      <c r="D6">
        <v>1</v>
      </c>
      <c r="E6" t="b">
        <v>1</v>
      </c>
      <c r="F6" s="1" t="s">
        <v>304</v>
      </c>
      <c r="G6" s="1" t="s">
        <v>305</v>
      </c>
      <c r="H6">
        <v>582</v>
      </c>
      <c r="I6">
        <v>1</v>
      </c>
      <c r="J6">
        <v>0.20300000000000001</v>
      </c>
      <c r="K6" s="1" t="s">
        <v>306</v>
      </c>
      <c r="L6">
        <v>582</v>
      </c>
      <c r="M6" s="1" t="s">
        <v>307</v>
      </c>
      <c r="N6">
        <v>1</v>
      </c>
      <c r="O6">
        <v>0.27600000000000002</v>
      </c>
      <c r="P6" s="1" t="s">
        <v>306</v>
      </c>
      <c r="Q6">
        <v>582</v>
      </c>
      <c r="R6" s="1" t="s">
        <v>308</v>
      </c>
      <c r="S6">
        <v>1</v>
      </c>
      <c r="T6">
        <v>0.104</v>
      </c>
      <c r="U6" s="1" t="s">
        <v>306</v>
      </c>
      <c r="V6">
        <v>582</v>
      </c>
      <c r="W6" s="1" t="s">
        <v>309</v>
      </c>
      <c r="X6">
        <v>1</v>
      </c>
      <c r="Y6">
        <v>0.02</v>
      </c>
      <c r="Z6" s="1" t="s">
        <v>306</v>
      </c>
      <c r="AA6">
        <v>582</v>
      </c>
      <c r="AB6" s="1" t="s">
        <v>310</v>
      </c>
      <c r="AC6">
        <v>1</v>
      </c>
      <c r="AD6">
        <v>12.48274</v>
      </c>
      <c r="AE6" s="1" t="s">
        <v>311</v>
      </c>
      <c r="AF6">
        <v>582</v>
      </c>
      <c r="AG6" s="1" t="s">
        <v>312</v>
      </c>
      <c r="AH6">
        <v>1</v>
      </c>
      <c r="AI6">
        <v>5.3999999999999999E-2</v>
      </c>
      <c r="AJ6" s="1" t="s">
        <v>306</v>
      </c>
      <c r="AK6">
        <v>582</v>
      </c>
      <c r="AL6" s="1" t="s">
        <v>313</v>
      </c>
      <c r="AM6">
        <v>1</v>
      </c>
      <c r="AN6">
        <v>0</v>
      </c>
      <c r="AO6" s="1" t="s">
        <v>306</v>
      </c>
      <c r="AP6">
        <v>582</v>
      </c>
      <c r="AQ6" s="1" t="s">
        <v>314</v>
      </c>
      <c r="AR6">
        <v>1</v>
      </c>
      <c r="AS6">
        <v>0.72499999999999998</v>
      </c>
      <c r="AT6" s="1" t="s">
        <v>306</v>
      </c>
      <c r="AU6">
        <v>582</v>
      </c>
      <c r="AV6" s="1" t="s">
        <v>315</v>
      </c>
      <c r="AW6">
        <v>1</v>
      </c>
      <c r="AX6" t="b">
        <v>0</v>
      </c>
      <c r="AY6" s="1" t="s">
        <v>316</v>
      </c>
      <c r="AZ6">
        <v>582</v>
      </c>
      <c r="BA6" s="1" t="s">
        <v>317</v>
      </c>
    </row>
    <row r="7" spans="1:53" x14ac:dyDescent="0.25">
      <c r="A7">
        <v>192</v>
      </c>
      <c r="B7" s="1" t="s">
        <v>244</v>
      </c>
      <c r="C7">
        <v>584</v>
      </c>
      <c r="D7">
        <v>1</v>
      </c>
      <c r="E7" t="b">
        <v>1</v>
      </c>
      <c r="F7" s="1" t="s">
        <v>304</v>
      </c>
      <c r="G7" s="1" t="s">
        <v>305</v>
      </c>
      <c r="H7">
        <v>584</v>
      </c>
      <c r="I7">
        <v>1</v>
      </c>
      <c r="J7">
        <v>0.24</v>
      </c>
      <c r="K7" s="1" t="s">
        <v>306</v>
      </c>
      <c r="L7">
        <v>584</v>
      </c>
      <c r="M7" s="1" t="s">
        <v>307</v>
      </c>
      <c r="N7">
        <v>1</v>
      </c>
      <c r="O7">
        <v>0.222</v>
      </c>
      <c r="P7" s="1" t="s">
        <v>306</v>
      </c>
      <c r="Q7">
        <v>584</v>
      </c>
      <c r="R7" s="1" t="s">
        <v>308</v>
      </c>
      <c r="S7">
        <v>1</v>
      </c>
      <c r="T7">
        <v>0.104</v>
      </c>
      <c r="U7" s="1" t="s">
        <v>306</v>
      </c>
      <c r="V7">
        <v>584</v>
      </c>
      <c r="W7" s="1" t="s">
        <v>309</v>
      </c>
      <c r="X7">
        <v>1</v>
      </c>
      <c r="Y7">
        <v>0.02</v>
      </c>
      <c r="Z7" s="1" t="s">
        <v>306</v>
      </c>
      <c r="AA7">
        <v>584</v>
      </c>
      <c r="AB7" s="1" t="s">
        <v>310</v>
      </c>
      <c r="AC7">
        <v>1</v>
      </c>
      <c r="AD7">
        <v>11.45478</v>
      </c>
      <c r="AE7" s="1" t="s">
        <v>311</v>
      </c>
      <c r="AF7">
        <v>584</v>
      </c>
      <c r="AG7" s="1" t="s">
        <v>312</v>
      </c>
      <c r="AH7">
        <v>1</v>
      </c>
      <c r="AI7">
        <v>5.8000000000000003E-2</v>
      </c>
      <c r="AJ7" s="1" t="s">
        <v>306</v>
      </c>
      <c r="AK7">
        <v>584</v>
      </c>
      <c r="AL7" s="1" t="s">
        <v>313</v>
      </c>
      <c r="AM7">
        <v>1</v>
      </c>
      <c r="AN7">
        <v>0</v>
      </c>
      <c r="AO7" s="1" t="s">
        <v>306</v>
      </c>
      <c r="AP7">
        <v>584</v>
      </c>
      <c r="AQ7" s="1" t="s">
        <v>314</v>
      </c>
      <c r="AR7">
        <v>1</v>
      </c>
      <c r="AS7">
        <v>0.66500000000000004</v>
      </c>
      <c r="AT7" s="1" t="s">
        <v>306</v>
      </c>
      <c r="AU7">
        <v>584</v>
      </c>
      <c r="AV7" s="1" t="s">
        <v>315</v>
      </c>
      <c r="AW7">
        <v>1</v>
      </c>
      <c r="AX7" t="b">
        <v>0</v>
      </c>
      <c r="AY7" s="1" t="s">
        <v>316</v>
      </c>
      <c r="AZ7">
        <v>584</v>
      </c>
      <c r="BA7" s="1" t="s">
        <v>317</v>
      </c>
    </row>
    <row r="8" spans="1:53" x14ac:dyDescent="0.25">
      <c r="A8">
        <v>191</v>
      </c>
      <c r="B8" s="1" t="s">
        <v>243</v>
      </c>
      <c r="C8">
        <v>583</v>
      </c>
      <c r="D8">
        <v>1</v>
      </c>
      <c r="E8" t="b">
        <v>1</v>
      </c>
      <c r="F8" s="1" t="s">
        <v>304</v>
      </c>
      <c r="G8" s="1" t="s">
        <v>305</v>
      </c>
      <c r="H8">
        <v>583</v>
      </c>
      <c r="I8">
        <v>1</v>
      </c>
      <c r="J8">
        <v>0.22</v>
      </c>
      <c r="K8" s="1" t="s">
        <v>306</v>
      </c>
      <c r="L8">
        <v>583</v>
      </c>
      <c r="M8" s="1" t="s">
        <v>307</v>
      </c>
      <c r="N8">
        <v>1</v>
      </c>
      <c r="O8">
        <v>0.251</v>
      </c>
      <c r="P8" s="1" t="s">
        <v>306</v>
      </c>
      <c r="Q8">
        <v>583</v>
      </c>
      <c r="R8" s="1" t="s">
        <v>308</v>
      </c>
      <c r="S8">
        <v>1</v>
      </c>
      <c r="T8">
        <v>0.104</v>
      </c>
      <c r="U8" s="1" t="s">
        <v>306</v>
      </c>
      <c r="V8">
        <v>583</v>
      </c>
      <c r="W8" s="1" t="s">
        <v>309</v>
      </c>
      <c r="X8">
        <v>1</v>
      </c>
      <c r="Y8">
        <v>0.02</v>
      </c>
      <c r="Z8" s="1" t="s">
        <v>306</v>
      </c>
      <c r="AA8">
        <v>583</v>
      </c>
      <c r="AB8" s="1" t="s">
        <v>310</v>
      </c>
      <c r="AC8">
        <v>1</v>
      </c>
      <c r="AD8">
        <v>11.979749999999999</v>
      </c>
      <c r="AE8" s="1" t="s">
        <v>311</v>
      </c>
      <c r="AF8">
        <v>583</v>
      </c>
      <c r="AG8" s="1" t="s">
        <v>312</v>
      </c>
      <c r="AH8">
        <v>1</v>
      </c>
      <c r="AI8">
        <v>5.5E-2</v>
      </c>
      <c r="AJ8" s="1" t="s">
        <v>306</v>
      </c>
      <c r="AK8">
        <v>583</v>
      </c>
      <c r="AL8" s="1" t="s">
        <v>313</v>
      </c>
      <c r="AM8">
        <v>1</v>
      </c>
      <c r="AN8">
        <v>0</v>
      </c>
      <c r="AO8" s="1" t="s">
        <v>306</v>
      </c>
      <c r="AP8">
        <v>583</v>
      </c>
      <c r="AQ8" s="1" t="s">
        <v>314</v>
      </c>
      <c r="AR8">
        <v>1</v>
      </c>
      <c r="AS8">
        <v>0.69499999999999995</v>
      </c>
      <c r="AT8" s="1" t="s">
        <v>306</v>
      </c>
      <c r="AU8">
        <v>583</v>
      </c>
      <c r="AV8" s="1" t="s">
        <v>315</v>
      </c>
      <c r="AW8">
        <v>1</v>
      </c>
      <c r="AX8" t="b">
        <v>0</v>
      </c>
      <c r="AY8" s="1" t="s">
        <v>316</v>
      </c>
      <c r="AZ8">
        <v>583</v>
      </c>
      <c r="BA8" s="1" t="s">
        <v>317</v>
      </c>
    </row>
    <row r="9" spans="1:53" x14ac:dyDescent="0.25">
      <c r="A9">
        <v>218</v>
      </c>
      <c r="B9" s="1" t="s">
        <v>270</v>
      </c>
      <c r="C9">
        <v>682</v>
      </c>
      <c r="D9">
        <v>1</v>
      </c>
      <c r="E9" t="b">
        <v>0</v>
      </c>
      <c r="F9" s="1" t="s">
        <v>304</v>
      </c>
      <c r="G9" s="1" t="s">
        <v>305</v>
      </c>
      <c r="H9">
        <v>682</v>
      </c>
      <c r="I9">
        <v>1</v>
      </c>
      <c r="J9">
        <v>0.41499999999999998</v>
      </c>
      <c r="K9" s="1" t="s">
        <v>306</v>
      </c>
      <c r="L9">
        <v>682</v>
      </c>
      <c r="M9" s="1" t="s">
        <v>307</v>
      </c>
      <c r="N9">
        <v>1</v>
      </c>
      <c r="O9">
        <v>0</v>
      </c>
      <c r="P9" s="1" t="s">
        <v>306</v>
      </c>
      <c r="Q9">
        <v>682</v>
      </c>
      <c r="R9" s="1" t="s">
        <v>308</v>
      </c>
      <c r="S9">
        <v>1</v>
      </c>
      <c r="T9">
        <v>8.3000000000000004E-2</v>
      </c>
      <c r="U9" s="1" t="s">
        <v>306</v>
      </c>
      <c r="V9">
        <v>682</v>
      </c>
      <c r="W9" s="1" t="s">
        <v>309</v>
      </c>
      <c r="X9">
        <v>1</v>
      </c>
      <c r="Y9">
        <v>1.7999999999999999E-2</v>
      </c>
      <c r="Z9" s="1" t="s">
        <v>306</v>
      </c>
      <c r="AA9">
        <v>682</v>
      </c>
      <c r="AB9" s="1" t="s">
        <v>310</v>
      </c>
      <c r="AC9">
        <v>1</v>
      </c>
      <c r="AD9">
        <v>10.03224</v>
      </c>
      <c r="AE9" s="1" t="s">
        <v>311</v>
      </c>
      <c r="AF9">
        <v>682</v>
      </c>
      <c r="AG9" s="1" t="s">
        <v>312</v>
      </c>
      <c r="AH9">
        <v>1</v>
      </c>
      <c r="AI9">
        <v>4.4999999999999998E-2</v>
      </c>
      <c r="AJ9" s="1" t="s">
        <v>306</v>
      </c>
      <c r="AK9">
        <v>682</v>
      </c>
      <c r="AL9" s="1" t="s">
        <v>313</v>
      </c>
      <c r="AM9">
        <v>1</v>
      </c>
      <c r="AN9">
        <v>0</v>
      </c>
      <c r="AO9" s="1" t="s">
        <v>306</v>
      </c>
      <c r="AP9">
        <v>682</v>
      </c>
      <c r="AQ9" s="1" t="s">
        <v>314</v>
      </c>
      <c r="AR9">
        <v>1</v>
      </c>
      <c r="AS9">
        <v>0.57999999999999996</v>
      </c>
      <c r="AT9" s="1" t="s">
        <v>306</v>
      </c>
      <c r="AU9">
        <v>682</v>
      </c>
      <c r="AV9" s="1" t="s">
        <v>315</v>
      </c>
      <c r="AW9">
        <v>1</v>
      </c>
      <c r="AX9" t="b">
        <v>0</v>
      </c>
      <c r="AY9" s="1" t="s">
        <v>316</v>
      </c>
      <c r="AZ9">
        <v>682</v>
      </c>
      <c r="BA9" s="1" t="s">
        <v>317</v>
      </c>
    </row>
    <row r="10" spans="1:53" x14ac:dyDescent="0.25">
      <c r="A10">
        <v>219</v>
      </c>
      <c r="B10" s="1" t="s">
        <v>271</v>
      </c>
      <c r="C10">
        <v>683</v>
      </c>
      <c r="D10">
        <v>1</v>
      </c>
      <c r="E10" t="b">
        <v>0</v>
      </c>
      <c r="F10" s="1" t="s">
        <v>304</v>
      </c>
      <c r="G10" s="1" t="s">
        <v>305</v>
      </c>
      <c r="H10">
        <v>683</v>
      </c>
      <c r="I10">
        <v>1</v>
      </c>
      <c r="J10">
        <v>0.43</v>
      </c>
      <c r="K10" s="1" t="s">
        <v>306</v>
      </c>
      <c r="L10">
        <v>683</v>
      </c>
      <c r="M10" s="1" t="s">
        <v>307</v>
      </c>
      <c r="N10">
        <v>1</v>
      </c>
      <c r="O10">
        <v>0</v>
      </c>
      <c r="P10" s="1" t="s">
        <v>306</v>
      </c>
      <c r="Q10">
        <v>683</v>
      </c>
      <c r="R10" s="1" t="s">
        <v>308</v>
      </c>
      <c r="S10">
        <v>1</v>
      </c>
      <c r="T10">
        <v>6.9000000000000006E-2</v>
      </c>
      <c r="U10" s="1" t="s">
        <v>306</v>
      </c>
      <c r="V10">
        <v>683</v>
      </c>
      <c r="W10" s="1" t="s">
        <v>309</v>
      </c>
      <c r="X10">
        <v>1</v>
      </c>
      <c r="Y10">
        <v>1.7999999999999999E-2</v>
      </c>
      <c r="Z10" s="1" t="s">
        <v>306</v>
      </c>
      <c r="AA10">
        <v>683</v>
      </c>
      <c r="AB10" s="1" t="s">
        <v>310</v>
      </c>
      <c r="AC10">
        <v>1</v>
      </c>
      <c r="AD10">
        <v>9.2810670000000002</v>
      </c>
      <c r="AE10" s="1" t="s">
        <v>311</v>
      </c>
      <c r="AF10">
        <v>683</v>
      </c>
      <c r="AG10" s="1" t="s">
        <v>312</v>
      </c>
      <c r="AH10">
        <v>1</v>
      </c>
      <c r="AI10">
        <v>4.4999999999999998E-2</v>
      </c>
      <c r="AJ10" s="1" t="s">
        <v>306</v>
      </c>
      <c r="AK10">
        <v>683</v>
      </c>
      <c r="AL10" s="1" t="s">
        <v>313</v>
      </c>
      <c r="AM10">
        <v>1</v>
      </c>
      <c r="AN10">
        <v>0</v>
      </c>
      <c r="AO10" s="1" t="s">
        <v>306</v>
      </c>
      <c r="AP10">
        <v>683</v>
      </c>
      <c r="AQ10" s="1" t="s">
        <v>314</v>
      </c>
      <c r="AR10">
        <v>1</v>
      </c>
      <c r="AS10">
        <v>0.54</v>
      </c>
      <c r="AT10" s="1" t="s">
        <v>306</v>
      </c>
      <c r="AU10">
        <v>683</v>
      </c>
      <c r="AV10" s="1" t="s">
        <v>315</v>
      </c>
      <c r="AW10">
        <v>1</v>
      </c>
      <c r="AX10" t="b">
        <v>0</v>
      </c>
      <c r="AY10" s="1" t="s">
        <v>316</v>
      </c>
      <c r="AZ10">
        <v>683</v>
      </c>
      <c r="BA10" s="1" t="s">
        <v>317</v>
      </c>
    </row>
    <row r="11" spans="1:53" x14ac:dyDescent="0.25">
      <c r="A11">
        <v>217</v>
      </c>
      <c r="B11" s="1" t="s">
        <v>269</v>
      </c>
      <c r="C11">
        <v>681</v>
      </c>
      <c r="D11">
        <v>1</v>
      </c>
      <c r="E11" t="b">
        <v>0</v>
      </c>
      <c r="F11" s="1" t="s">
        <v>304</v>
      </c>
      <c r="G11" s="1" t="s">
        <v>305</v>
      </c>
      <c r="H11">
        <v>681</v>
      </c>
      <c r="I11">
        <v>1</v>
      </c>
      <c r="J11">
        <v>0.41099999999999998</v>
      </c>
      <c r="K11" s="1" t="s">
        <v>306</v>
      </c>
      <c r="L11">
        <v>681</v>
      </c>
      <c r="M11" s="1" t="s">
        <v>307</v>
      </c>
      <c r="N11">
        <v>1</v>
      </c>
      <c r="O11">
        <v>0</v>
      </c>
      <c r="P11" s="1" t="s">
        <v>306</v>
      </c>
      <c r="Q11">
        <v>681</v>
      </c>
      <c r="R11" s="1" t="s">
        <v>308</v>
      </c>
      <c r="S11">
        <v>1</v>
      </c>
      <c r="T11">
        <v>4.4999999999999998E-2</v>
      </c>
      <c r="U11" s="1" t="s">
        <v>306</v>
      </c>
      <c r="V11">
        <v>681</v>
      </c>
      <c r="W11" s="1" t="s">
        <v>309</v>
      </c>
      <c r="X11">
        <v>1</v>
      </c>
      <c r="Y11">
        <v>1.7999999999999999E-2</v>
      </c>
      <c r="Z11" s="1" t="s">
        <v>306</v>
      </c>
      <c r="AA11">
        <v>681</v>
      </c>
      <c r="AB11" s="1" t="s">
        <v>310</v>
      </c>
      <c r="AC11">
        <v>1</v>
      </c>
      <c r="AD11">
        <v>9.5985230000000001</v>
      </c>
      <c r="AE11" s="1" t="s">
        <v>311</v>
      </c>
      <c r="AF11">
        <v>681</v>
      </c>
      <c r="AG11" s="1" t="s">
        <v>312</v>
      </c>
      <c r="AH11">
        <v>1</v>
      </c>
      <c r="AI11">
        <v>9.5000000000000001E-2</v>
      </c>
      <c r="AJ11" s="1" t="s">
        <v>306</v>
      </c>
      <c r="AK11">
        <v>681</v>
      </c>
      <c r="AL11" s="1" t="s">
        <v>313</v>
      </c>
      <c r="AM11">
        <v>1</v>
      </c>
      <c r="AN11">
        <v>0</v>
      </c>
      <c r="AO11" s="1" t="s">
        <v>306</v>
      </c>
      <c r="AP11">
        <v>681</v>
      </c>
      <c r="AQ11" s="1" t="s">
        <v>314</v>
      </c>
      <c r="AR11">
        <v>1</v>
      </c>
      <c r="AS11">
        <v>0.6</v>
      </c>
      <c r="AT11" s="1" t="s">
        <v>306</v>
      </c>
      <c r="AU11">
        <v>681</v>
      </c>
      <c r="AV11" s="1" t="s">
        <v>315</v>
      </c>
      <c r="AW11">
        <v>1</v>
      </c>
      <c r="AX11" t="b">
        <v>0</v>
      </c>
      <c r="AY11" s="1" t="s">
        <v>316</v>
      </c>
      <c r="AZ11">
        <v>681</v>
      </c>
      <c r="BA11" s="1" t="s">
        <v>317</v>
      </c>
    </row>
    <row r="12" spans="1:53" x14ac:dyDescent="0.25">
      <c r="A12">
        <v>44</v>
      </c>
      <c r="B12" s="1" t="s">
        <v>96</v>
      </c>
      <c r="C12">
        <v>221</v>
      </c>
      <c r="D12">
        <v>16.17398</v>
      </c>
      <c r="E12" t="b">
        <v>0</v>
      </c>
      <c r="F12" s="1">
        <v>221</v>
      </c>
      <c r="G12" s="1" t="s">
        <v>305</v>
      </c>
      <c r="H12">
        <v>221</v>
      </c>
      <c r="I12">
        <v>1</v>
      </c>
      <c r="J12">
        <v>8.0000000000000002E-3</v>
      </c>
      <c r="K12" s="1" t="s">
        <v>306</v>
      </c>
      <c r="L12">
        <v>221</v>
      </c>
      <c r="M12" s="1" t="s">
        <v>307</v>
      </c>
      <c r="N12">
        <v>1</v>
      </c>
      <c r="O12">
        <v>0.77</v>
      </c>
      <c r="P12" s="1" t="s">
        <v>306</v>
      </c>
      <c r="Q12">
        <v>221</v>
      </c>
      <c r="R12" s="1" t="s">
        <v>308</v>
      </c>
      <c r="S12">
        <v>1</v>
      </c>
      <c r="T12">
        <v>0.11799999999999999</v>
      </c>
      <c r="U12" s="1" t="s">
        <v>306</v>
      </c>
      <c r="V12">
        <v>221</v>
      </c>
      <c r="W12" s="1" t="s">
        <v>309</v>
      </c>
      <c r="X12">
        <v>1</v>
      </c>
      <c r="Y12">
        <v>1.4E-2</v>
      </c>
      <c r="Z12" s="1" t="s">
        <v>306</v>
      </c>
      <c r="AA12">
        <v>221</v>
      </c>
      <c r="AB12" s="1" t="s">
        <v>310</v>
      </c>
      <c r="AC12">
        <v>1</v>
      </c>
      <c r="AD12">
        <v>16.17398</v>
      </c>
      <c r="AE12" s="1" t="s">
        <v>311</v>
      </c>
      <c r="AF12">
        <v>221</v>
      </c>
      <c r="AG12" s="1" t="s">
        <v>312</v>
      </c>
      <c r="AH12">
        <v>1</v>
      </c>
      <c r="AI12">
        <v>1.0999999999999999E-2</v>
      </c>
      <c r="AJ12" s="1" t="s">
        <v>306</v>
      </c>
      <c r="AK12">
        <v>221</v>
      </c>
      <c r="AL12" s="1" t="s">
        <v>313</v>
      </c>
      <c r="AM12">
        <v>1</v>
      </c>
      <c r="AN12">
        <v>0</v>
      </c>
      <c r="AO12" s="1" t="s">
        <v>306</v>
      </c>
      <c r="AP12">
        <v>221</v>
      </c>
      <c r="AQ12" s="1" t="s">
        <v>314</v>
      </c>
      <c r="AR12">
        <v>1</v>
      </c>
      <c r="AS12">
        <v>0.90959999999999996</v>
      </c>
      <c r="AT12" s="1" t="s">
        <v>306</v>
      </c>
      <c r="AU12">
        <v>221</v>
      </c>
      <c r="AV12" s="1" t="s">
        <v>315</v>
      </c>
      <c r="AW12">
        <v>1</v>
      </c>
      <c r="AX12" t="b">
        <v>0</v>
      </c>
      <c r="AY12" s="1" t="s">
        <v>316</v>
      </c>
      <c r="AZ12">
        <v>221</v>
      </c>
      <c r="BA12" s="1" t="s">
        <v>317</v>
      </c>
    </row>
    <row r="13" spans="1:53" x14ac:dyDescent="0.25">
      <c r="A13">
        <v>45</v>
      </c>
      <c r="B13" s="1" t="s">
        <v>97</v>
      </c>
      <c r="C13">
        <v>224</v>
      </c>
      <c r="D13">
        <v>12.65484</v>
      </c>
      <c r="E13" t="b">
        <v>0</v>
      </c>
      <c r="F13" s="1">
        <v>224</v>
      </c>
      <c r="G13" s="1" t="s">
        <v>305</v>
      </c>
      <c r="H13">
        <v>224</v>
      </c>
      <c r="I13">
        <v>1</v>
      </c>
      <c r="J13">
        <v>0.158</v>
      </c>
      <c r="K13" s="1" t="s">
        <v>306</v>
      </c>
      <c r="L13">
        <v>224</v>
      </c>
      <c r="M13" s="1" t="s">
        <v>307</v>
      </c>
      <c r="N13">
        <v>1</v>
      </c>
      <c r="O13">
        <v>0.22</v>
      </c>
      <c r="P13" s="1" t="s">
        <v>306</v>
      </c>
      <c r="Q13">
        <v>224</v>
      </c>
      <c r="R13" s="1" t="s">
        <v>308</v>
      </c>
      <c r="S13">
        <v>1</v>
      </c>
      <c r="T13">
        <v>0.123</v>
      </c>
      <c r="U13" s="1" t="s">
        <v>306</v>
      </c>
      <c r="V13">
        <v>224</v>
      </c>
      <c r="W13" s="1" t="s">
        <v>309</v>
      </c>
      <c r="X13">
        <v>1</v>
      </c>
      <c r="Y13">
        <v>4.2000000000000003E-2</v>
      </c>
      <c r="Z13" s="1" t="s">
        <v>306</v>
      </c>
      <c r="AA13">
        <v>224</v>
      </c>
      <c r="AB13" s="1" t="s">
        <v>310</v>
      </c>
      <c r="AC13">
        <v>1</v>
      </c>
      <c r="AD13">
        <v>12.65484</v>
      </c>
      <c r="AE13" s="1" t="s">
        <v>311</v>
      </c>
      <c r="AF13">
        <v>224</v>
      </c>
      <c r="AG13" s="1" t="s">
        <v>312</v>
      </c>
      <c r="AH13">
        <v>1</v>
      </c>
      <c r="AI13">
        <v>6.0999999999999999E-2</v>
      </c>
      <c r="AJ13" s="1" t="s">
        <v>306</v>
      </c>
      <c r="AK13">
        <v>224</v>
      </c>
      <c r="AL13" s="1" t="s">
        <v>313</v>
      </c>
      <c r="AM13">
        <v>1</v>
      </c>
      <c r="AN13">
        <v>0</v>
      </c>
      <c r="AO13" s="1" t="s">
        <v>306</v>
      </c>
      <c r="AP13">
        <v>224</v>
      </c>
      <c r="AQ13" s="1" t="s">
        <v>314</v>
      </c>
      <c r="AR13">
        <v>1</v>
      </c>
      <c r="AS13">
        <v>0.71158999999999994</v>
      </c>
      <c r="AT13" s="1" t="s">
        <v>306</v>
      </c>
      <c r="AU13">
        <v>224</v>
      </c>
      <c r="AV13" s="1" t="s">
        <v>315</v>
      </c>
      <c r="AW13">
        <v>1</v>
      </c>
      <c r="AX13" t="b">
        <v>0</v>
      </c>
      <c r="AY13" s="1" t="s">
        <v>316</v>
      </c>
      <c r="AZ13">
        <v>224</v>
      </c>
      <c r="BA13" s="1" t="s">
        <v>317</v>
      </c>
    </row>
    <row r="14" spans="1:53" x14ac:dyDescent="0.25">
      <c r="A14">
        <v>154</v>
      </c>
      <c r="B14" s="1" t="s">
        <v>206</v>
      </c>
      <c r="C14">
        <v>483</v>
      </c>
      <c r="D14">
        <v>1</v>
      </c>
      <c r="E14" t="b">
        <v>1</v>
      </c>
      <c r="F14" s="1" t="s">
        <v>304</v>
      </c>
      <c r="G14" s="1" t="s">
        <v>305</v>
      </c>
      <c r="H14">
        <v>483</v>
      </c>
      <c r="I14">
        <v>1</v>
      </c>
      <c r="J14">
        <v>0.21</v>
      </c>
      <c r="K14" s="1" t="s">
        <v>306</v>
      </c>
      <c r="L14">
        <v>483</v>
      </c>
      <c r="M14" s="1" t="s">
        <v>307</v>
      </c>
      <c r="N14">
        <v>1</v>
      </c>
      <c r="O14">
        <v>0.32</v>
      </c>
      <c r="P14" s="1" t="s">
        <v>306</v>
      </c>
      <c r="Q14">
        <v>483</v>
      </c>
      <c r="R14" s="1" t="s">
        <v>308</v>
      </c>
      <c r="S14">
        <v>1</v>
      </c>
      <c r="T14">
        <v>0.105</v>
      </c>
      <c r="U14" s="1" t="s">
        <v>306</v>
      </c>
      <c r="V14">
        <v>483</v>
      </c>
      <c r="W14" s="1" t="s">
        <v>309</v>
      </c>
      <c r="X14">
        <v>1</v>
      </c>
      <c r="Y14">
        <v>0.02</v>
      </c>
      <c r="Z14" s="1" t="s">
        <v>306</v>
      </c>
      <c r="AA14">
        <v>483</v>
      </c>
      <c r="AB14" s="1" t="s">
        <v>310</v>
      </c>
      <c r="AC14">
        <v>1</v>
      </c>
      <c r="AD14">
        <v>12.238950000000001</v>
      </c>
      <c r="AE14" s="1" t="s">
        <v>311</v>
      </c>
      <c r="AF14">
        <v>483</v>
      </c>
      <c r="AG14" s="1" t="s">
        <v>312</v>
      </c>
      <c r="AH14">
        <v>1</v>
      </c>
      <c r="AI14">
        <v>6.0999999999999999E-2</v>
      </c>
      <c r="AJ14" s="1" t="s">
        <v>306</v>
      </c>
      <c r="AK14">
        <v>483</v>
      </c>
      <c r="AL14" s="1" t="s">
        <v>313</v>
      </c>
      <c r="AM14">
        <v>1</v>
      </c>
      <c r="AN14">
        <v>0</v>
      </c>
      <c r="AO14" s="1" t="s">
        <v>306</v>
      </c>
      <c r="AP14">
        <v>483</v>
      </c>
      <c r="AQ14" s="1" t="s">
        <v>314</v>
      </c>
      <c r="AR14">
        <v>1</v>
      </c>
      <c r="AS14">
        <v>0.71499999999999997</v>
      </c>
      <c r="AT14" s="1" t="s">
        <v>306</v>
      </c>
      <c r="AU14">
        <v>483</v>
      </c>
      <c r="AV14" s="1" t="s">
        <v>315</v>
      </c>
      <c r="AW14">
        <v>1</v>
      </c>
      <c r="AX14" t="b">
        <v>0</v>
      </c>
      <c r="AY14" s="1" t="s">
        <v>316</v>
      </c>
      <c r="AZ14">
        <v>483</v>
      </c>
      <c r="BA14" s="1" t="s">
        <v>317</v>
      </c>
    </row>
    <row r="15" spans="1:53" x14ac:dyDescent="0.25">
      <c r="A15">
        <v>89</v>
      </c>
      <c r="B15" s="1" t="s">
        <v>141</v>
      </c>
      <c r="C15">
        <v>298</v>
      </c>
      <c r="D15">
        <v>10.560919999999999</v>
      </c>
      <c r="E15" t="b">
        <v>0</v>
      </c>
      <c r="F15" s="1">
        <v>298</v>
      </c>
      <c r="G15" s="1" t="s">
        <v>305</v>
      </c>
      <c r="H15">
        <v>298</v>
      </c>
      <c r="I15">
        <v>1</v>
      </c>
      <c r="J15">
        <v>0.67500000000000004</v>
      </c>
      <c r="K15" s="1" t="s">
        <v>306</v>
      </c>
      <c r="L15">
        <v>298</v>
      </c>
      <c r="M15" s="1" t="s">
        <v>307</v>
      </c>
      <c r="N15">
        <v>1</v>
      </c>
      <c r="O15">
        <v>0</v>
      </c>
      <c r="P15" s="1" t="s">
        <v>306</v>
      </c>
      <c r="Q15">
        <v>298</v>
      </c>
      <c r="R15" s="1" t="s">
        <v>308</v>
      </c>
      <c r="S15">
        <v>1</v>
      </c>
      <c r="T15">
        <v>1.2E-2</v>
      </c>
      <c r="U15" s="1" t="s">
        <v>306</v>
      </c>
      <c r="V15">
        <v>298</v>
      </c>
      <c r="W15" s="1" t="s">
        <v>309</v>
      </c>
      <c r="X15">
        <v>1</v>
      </c>
      <c r="Y15">
        <v>4.0000000000000001E-3</v>
      </c>
      <c r="Z15" s="1" t="s">
        <v>306</v>
      </c>
      <c r="AA15">
        <v>298</v>
      </c>
      <c r="AB15" s="1" t="s">
        <v>310</v>
      </c>
      <c r="AC15">
        <v>1</v>
      </c>
      <c r="AD15">
        <v>10.560919999999999</v>
      </c>
      <c r="AE15" s="1" t="s">
        <v>311</v>
      </c>
      <c r="AF15">
        <v>298</v>
      </c>
      <c r="AG15" s="1" t="s">
        <v>312</v>
      </c>
      <c r="AH15">
        <v>1</v>
      </c>
      <c r="AI15">
        <v>0.04</v>
      </c>
      <c r="AJ15" s="1" t="s">
        <v>306</v>
      </c>
      <c r="AK15">
        <v>298</v>
      </c>
      <c r="AL15" s="1" t="s">
        <v>313</v>
      </c>
      <c r="AM15">
        <v>1</v>
      </c>
      <c r="AN15">
        <v>0</v>
      </c>
      <c r="AO15" s="1" t="s">
        <v>306</v>
      </c>
      <c r="AP15">
        <v>298</v>
      </c>
      <c r="AQ15" s="1" t="s">
        <v>314</v>
      </c>
      <c r="AR15">
        <v>1</v>
      </c>
      <c r="AS15">
        <v>0.65</v>
      </c>
      <c r="AT15" s="1" t="s">
        <v>306</v>
      </c>
      <c r="AU15">
        <v>298</v>
      </c>
      <c r="AV15" s="1" t="s">
        <v>315</v>
      </c>
      <c r="AW15">
        <v>1</v>
      </c>
      <c r="AX15" t="b">
        <v>0</v>
      </c>
      <c r="AY15" s="1" t="s">
        <v>316</v>
      </c>
      <c r="AZ15">
        <v>298</v>
      </c>
      <c r="BA15" s="1" t="s">
        <v>317</v>
      </c>
    </row>
    <row r="16" spans="1:53" x14ac:dyDescent="0.25">
      <c r="A16">
        <v>122</v>
      </c>
      <c r="B16" s="1" t="s">
        <v>174</v>
      </c>
      <c r="C16">
        <v>390</v>
      </c>
      <c r="D16">
        <v>1</v>
      </c>
      <c r="E16" t="b">
        <v>0</v>
      </c>
      <c r="F16" s="1" t="s">
        <v>304</v>
      </c>
      <c r="G16" s="1" t="s">
        <v>305</v>
      </c>
      <c r="H16">
        <v>390</v>
      </c>
      <c r="I16">
        <v>1</v>
      </c>
      <c r="J16">
        <v>0.2</v>
      </c>
      <c r="K16" s="1" t="s">
        <v>306</v>
      </c>
      <c r="L16">
        <v>390</v>
      </c>
      <c r="M16" s="1" t="s">
        <v>307</v>
      </c>
      <c r="N16">
        <v>1</v>
      </c>
      <c r="O16">
        <v>0.04</v>
      </c>
      <c r="P16" s="1" t="s">
        <v>306</v>
      </c>
      <c r="Q16">
        <v>390</v>
      </c>
      <c r="R16" s="1" t="s">
        <v>308</v>
      </c>
      <c r="S16">
        <v>1</v>
      </c>
      <c r="T16">
        <v>7.4999999999999997E-2</v>
      </c>
      <c r="U16" s="1" t="s">
        <v>306</v>
      </c>
      <c r="V16">
        <v>390</v>
      </c>
      <c r="W16" s="1" t="s">
        <v>309</v>
      </c>
      <c r="X16">
        <v>1</v>
      </c>
      <c r="Y16">
        <v>7.0000000000000001E-3</v>
      </c>
      <c r="Z16" s="1" t="s">
        <v>306</v>
      </c>
      <c r="AA16">
        <v>390</v>
      </c>
      <c r="AB16" s="1" t="s">
        <v>310</v>
      </c>
      <c r="AC16">
        <v>1</v>
      </c>
      <c r="AD16">
        <v>11.20262</v>
      </c>
      <c r="AE16" s="1" t="s">
        <v>311</v>
      </c>
      <c r="AF16">
        <v>390</v>
      </c>
      <c r="AG16" s="1" t="s">
        <v>312</v>
      </c>
      <c r="AH16">
        <v>1</v>
      </c>
      <c r="AI16">
        <v>0.08</v>
      </c>
      <c r="AJ16" s="1" t="s">
        <v>306</v>
      </c>
      <c r="AK16">
        <v>390</v>
      </c>
      <c r="AL16" s="1" t="s">
        <v>313</v>
      </c>
      <c r="AM16">
        <v>1</v>
      </c>
      <c r="AN16">
        <v>0</v>
      </c>
      <c r="AO16" s="1" t="s">
        <v>306</v>
      </c>
      <c r="AP16">
        <v>390</v>
      </c>
      <c r="AQ16" s="1" t="s">
        <v>314</v>
      </c>
      <c r="AR16">
        <v>1</v>
      </c>
      <c r="AS16">
        <v>0.69</v>
      </c>
      <c r="AT16" s="1" t="s">
        <v>306</v>
      </c>
      <c r="AU16">
        <v>390</v>
      </c>
      <c r="AV16" s="1" t="s">
        <v>315</v>
      </c>
      <c r="AW16">
        <v>1</v>
      </c>
      <c r="AX16" t="b">
        <v>0</v>
      </c>
      <c r="AY16" s="1" t="s">
        <v>316</v>
      </c>
      <c r="AZ16">
        <v>390</v>
      </c>
      <c r="BA16" s="1" t="s">
        <v>317</v>
      </c>
    </row>
    <row r="17" spans="1:53" x14ac:dyDescent="0.25">
      <c r="A17">
        <v>118</v>
      </c>
      <c r="B17" s="1" t="s">
        <v>170</v>
      </c>
      <c r="C17">
        <v>385</v>
      </c>
      <c r="D17">
        <v>1</v>
      </c>
      <c r="E17" t="b">
        <v>1</v>
      </c>
      <c r="F17" s="1" t="s">
        <v>304</v>
      </c>
      <c r="G17" s="1" t="s">
        <v>305</v>
      </c>
      <c r="H17">
        <v>385</v>
      </c>
      <c r="I17">
        <v>1</v>
      </c>
      <c r="J17">
        <v>0.16</v>
      </c>
      <c r="K17" s="1" t="s">
        <v>306</v>
      </c>
      <c r="L17">
        <v>385</v>
      </c>
      <c r="M17" s="1" t="s">
        <v>307</v>
      </c>
      <c r="N17">
        <v>1</v>
      </c>
      <c r="O17">
        <v>0.03</v>
      </c>
      <c r="P17" s="1" t="s">
        <v>306</v>
      </c>
      <c r="Q17">
        <v>385</v>
      </c>
      <c r="R17" s="1" t="s">
        <v>308</v>
      </c>
      <c r="S17">
        <v>1</v>
      </c>
      <c r="T17">
        <v>0.12</v>
      </c>
      <c r="U17" s="1" t="s">
        <v>306</v>
      </c>
      <c r="V17">
        <v>385</v>
      </c>
      <c r="W17" s="1" t="s">
        <v>309</v>
      </c>
      <c r="X17">
        <v>1</v>
      </c>
      <c r="Y17">
        <v>1.4999999999999999E-2</v>
      </c>
      <c r="Z17" s="1" t="s">
        <v>306</v>
      </c>
      <c r="AA17">
        <v>385</v>
      </c>
      <c r="AB17" s="1" t="s">
        <v>310</v>
      </c>
      <c r="AC17">
        <v>1</v>
      </c>
      <c r="AD17">
        <v>12.514760000000001</v>
      </c>
      <c r="AE17" s="1" t="s">
        <v>311</v>
      </c>
      <c r="AF17">
        <v>385</v>
      </c>
      <c r="AG17" s="1" t="s">
        <v>312</v>
      </c>
      <c r="AH17">
        <v>1</v>
      </c>
      <c r="AI17">
        <v>0.12</v>
      </c>
      <c r="AJ17" s="1" t="s">
        <v>306</v>
      </c>
      <c r="AK17">
        <v>385</v>
      </c>
      <c r="AL17" s="1" t="s">
        <v>313</v>
      </c>
      <c r="AM17">
        <v>1</v>
      </c>
      <c r="AN17">
        <v>0</v>
      </c>
      <c r="AO17" s="1" t="s">
        <v>306</v>
      </c>
      <c r="AP17">
        <v>385</v>
      </c>
      <c r="AQ17" s="1" t="s">
        <v>314</v>
      </c>
      <c r="AR17">
        <v>1</v>
      </c>
      <c r="AS17">
        <v>0.78</v>
      </c>
      <c r="AT17" s="1" t="s">
        <v>306</v>
      </c>
      <c r="AU17">
        <v>385</v>
      </c>
      <c r="AV17" s="1" t="s">
        <v>315</v>
      </c>
      <c r="AW17">
        <v>1</v>
      </c>
      <c r="AX17" t="b">
        <v>0</v>
      </c>
      <c r="AY17" s="1" t="s">
        <v>316</v>
      </c>
      <c r="AZ17">
        <v>385</v>
      </c>
      <c r="BA17" s="1" t="s">
        <v>317</v>
      </c>
    </row>
    <row r="18" spans="1:53" x14ac:dyDescent="0.25">
      <c r="A18">
        <v>72</v>
      </c>
      <c r="B18" s="1" t="s">
        <v>124</v>
      </c>
      <c r="C18">
        <v>277</v>
      </c>
      <c r="D18">
        <v>13.817399999999999</v>
      </c>
      <c r="E18" t="b">
        <v>0</v>
      </c>
      <c r="F18" s="1">
        <v>277</v>
      </c>
      <c r="G18" s="1" t="s">
        <v>305</v>
      </c>
      <c r="H18">
        <v>277</v>
      </c>
      <c r="I18">
        <v>1</v>
      </c>
      <c r="J18">
        <v>0</v>
      </c>
      <c r="K18" s="1" t="s">
        <v>306</v>
      </c>
      <c r="L18">
        <v>277</v>
      </c>
      <c r="M18" s="1" t="s">
        <v>307</v>
      </c>
      <c r="N18">
        <v>1</v>
      </c>
      <c r="O18">
        <v>0.63</v>
      </c>
      <c r="P18" s="1" t="s">
        <v>306</v>
      </c>
      <c r="Q18">
        <v>277</v>
      </c>
      <c r="R18" s="1" t="s">
        <v>308</v>
      </c>
      <c r="S18">
        <v>1</v>
      </c>
      <c r="T18">
        <v>0.129</v>
      </c>
      <c r="U18" s="1" t="s">
        <v>306</v>
      </c>
      <c r="V18">
        <v>277</v>
      </c>
      <c r="W18" s="1" t="s">
        <v>309</v>
      </c>
      <c r="X18">
        <v>1</v>
      </c>
      <c r="Y18">
        <v>4.0000000000000001E-3</v>
      </c>
      <c r="Z18" s="1" t="s">
        <v>306</v>
      </c>
      <c r="AA18">
        <v>277</v>
      </c>
      <c r="AB18" s="1" t="s">
        <v>310</v>
      </c>
      <c r="AC18">
        <v>1</v>
      </c>
      <c r="AD18">
        <v>13.817399999999999</v>
      </c>
      <c r="AE18" s="1" t="s">
        <v>311</v>
      </c>
      <c r="AF18">
        <v>277</v>
      </c>
      <c r="AG18" s="1" t="s">
        <v>312</v>
      </c>
      <c r="AH18">
        <v>1</v>
      </c>
      <c r="AI18">
        <v>0.115</v>
      </c>
      <c r="AJ18" s="1" t="s">
        <v>306</v>
      </c>
      <c r="AK18">
        <v>277</v>
      </c>
      <c r="AL18" s="1" t="s">
        <v>313</v>
      </c>
      <c r="AM18">
        <v>1</v>
      </c>
      <c r="AN18">
        <v>0</v>
      </c>
      <c r="AO18" s="1" t="s">
        <v>306</v>
      </c>
      <c r="AP18">
        <v>277</v>
      </c>
      <c r="AQ18" s="1" t="s">
        <v>314</v>
      </c>
      <c r="AR18">
        <v>1</v>
      </c>
      <c r="AS18">
        <v>0.9</v>
      </c>
      <c r="AT18" s="1" t="s">
        <v>306</v>
      </c>
      <c r="AU18">
        <v>277</v>
      </c>
      <c r="AV18" s="1" t="s">
        <v>315</v>
      </c>
      <c r="AW18">
        <v>1</v>
      </c>
      <c r="AX18" t="b">
        <v>0</v>
      </c>
      <c r="AY18" s="1" t="s">
        <v>316</v>
      </c>
      <c r="AZ18">
        <v>277</v>
      </c>
      <c r="BA18" s="1" t="s">
        <v>317</v>
      </c>
    </row>
    <row r="19" spans="1:53" x14ac:dyDescent="0.25">
      <c r="A19">
        <v>77</v>
      </c>
      <c r="B19" s="1" t="s">
        <v>129</v>
      </c>
      <c r="C19">
        <v>285</v>
      </c>
      <c r="D19">
        <v>14.59775</v>
      </c>
      <c r="E19" t="b">
        <v>1</v>
      </c>
      <c r="F19" s="1">
        <v>285</v>
      </c>
      <c r="G19" s="1" t="s">
        <v>305</v>
      </c>
      <c r="H19">
        <v>285</v>
      </c>
      <c r="I19">
        <v>1</v>
      </c>
      <c r="J19">
        <v>0.21099999999999999</v>
      </c>
      <c r="K19" s="1" t="s">
        <v>306</v>
      </c>
      <c r="L19">
        <v>285</v>
      </c>
      <c r="M19" s="1" t="s">
        <v>307</v>
      </c>
      <c r="N19">
        <v>1</v>
      </c>
      <c r="O19">
        <v>0.01</v>
      </c>
      <c r="P19" s="1" t="s">
        <v>306</v>
      </c>
      <c r="Q19">
        <v>285</v>
      </c>
      <c r="R19" s="1" t="s">
        <v>308</v>
      </c>
      <c r="S19">
        <v>1</v>
      </c>
      <c r="T19">
        <v>0.11</v>
      </c>
      <c r="U19" s="1" t="s">
        <v>306</v>
      </c>
      <c r="V19">
        <v>285</v>
      </c>
      <c r="W19" s="1" t="s">
        <v>309</v>
      </c>
      <c r="X19">
        <v>1</v>
      </c>
      <c r="Y19">
        <v>1.6E-2</v>
      </c>
      <c r="Z19" s="1" t="s">
        <v>306</v>
      </c>
      <c r="AA19">
        <v>285</v>
      </c>
      <c r="AB19" s="1" t="s">
        <v>310</v>
      </c>
      <c r="AC19">
        <v>1</v>
      </c>
      <c r="AD19">
        <v>14.59775</v>
      </c>
      <c r="AE19" s="1" t="s">
        <v>311</v>
      </c>
      <c r="AF19">
        <v>285</v>
      </c>
      <c r="AG19" s="1" t="s">
        <v>312</v>
      </c>
      <c r="AH19">
        <v>1</v>
      </c>
      <c r="AI19">
        <v>0.08</v>
      </c>
      <c r="AJ19" s="1" t="s">
        <v>306</v>
      </c>
      <c r="AK19">
        <v>285</v>
      </c>
      <c r="AL19" s="1" t="s">
        <v>313</v>
      </c>
      <c r="AM19">
        <v>1</v>
      </c>
      <c r="AN19">
        <v>0</v>
      </c>
      <c r="AO19" s="1" t="s">
        <v>306</v>
      </c>
      <c r="AP19">
        <v>285</v>
      </c>
      <c r="AQ19" s="1" t="s">
        <v>314</v>
      </c>
      <c r="AR19">
        <v>1</v>
      </c>
      <c r="AS19">
        <v>0.88</v>
      </c>
      <c r="AT19" s="1" t="s">
        <v>306</v>
      </c>
      <c r="AU19">
        <v>285</v>
      </c>
      <c r="AV19" s="1" t="s">
        <v>315</v>
      </c>
      <c r="AW19">
        <v>1</v>
      </c>
      <c r="AX19" t="b">
        <v>0</v>
      </c>
      <c r="AY19" s="1" t="s">
        <v>316</v>
      </c>
      <c r="AZ19">
        <v>285</v>
      </c>
      <c r="BA19" s="1" t="s">
        <v>317</v>
      </c>
    </row>
    <row r="20" spans="1:53" x14ac:dyDescent="0.25">
      <c r="A20">
        <v>74</v>
      </c>
      <c r="B20" s="1" t="s">
        <v>126</v>
      </c>
      <c r="C20">
        <v>282</v>
      </c>
      <c r="D20">
        <v>14.83953</v>
      </c>
      <c r="E20" t="b">
        <v>1</v>
      </c>
      <c r="F20" s="1">
        <v>282</v>
      </c>
      <c r="G20" s="1" t="s">
        <v>305</v>
      </c>
      <c r="H20">
        <v>282</v>
      </c>
      <c r="I20">
        <v>1</v>
      </c>
      <c r="J20">
        <v>0.21</v>
      </c>
      <c r="K20" s="1" t="s">
        <v>306</v>
      </c>
      <c r="L20">
        <v>282</v>
      </c>
      <c r="M20" s="1" t="s">
        <v>307</v>
      </c>
      <c r="N20">
        <v>1</v>
      </c>
      <c r="O20">
        <v>0.05</v>
      </c>
      <c r="P20" s="1" t="s">
        <v>306</v>
      </c>
      <c r="Q20">
        <v>282</v>
      </c>
      <c r="R20" s="1" t="s">
        <v>308</v>
      </c>
      <c r="S20">
        <v>1</v>
      </c>
      <c r="T20">
        <v>0.105</v>
      </c>
      <c r="U20" s="1" t="s">
        <v>306</v>
      </c>
      <c r="V20">
        <v>282</v>
      </c>
      <c r="W20" s="1" t="s">
        <v>309</v>
      </c>
      <c r="X20">
        <v>1</v>
      </c>
      <c r="Y20">
        <v>1.6E-2</v>
      </c>
      <c r="Z20" s="1" t="s">
        <v>306</v>
      </c>
      <c r="AA20">
        <v>282</v>
      </c>
      <c r="AB20" s="1" t="s">
        <v>310</v>
      </c>
      <c r="AC20">
        <v>1</v>
      </c>
      <c r="AD20">
        <v>14.83953</v>
      </c>
      <c r="AE20" s="1" t="s">
        <v>311</v>
      </c>
      <c r="AF20">
        <v>282</v>
      </c>
      <c r="AG20" s="1" t="s">
        <v>312</v>
      </c>
      <c r="AH20">
        <v>1</v>
      </c>
      <c r="AI20">
        <v>6.2E-2</v>
      </c>
      <c r="AJ20" s="1" t="s">
        <v>306</v>
      </c>
      <c r="AK20">
        <v>282</v>
      </c>
      <c r="AL20" s="1" t="s">
        <v>313</v>
      </c>
      <c r="AM20">
        <v>1</v>
      </c>
      <c r="AN20">
        <v>0</v>
      </c>
      <c r="AO20" s="1" t="s">
        <v>306</v>
      </c>
      <c r="AP20">
        <v>282</v>
      </c>
      <c r="AQ20" s="1" t="s">
        <v>314</v>
      </c>
      <c r="AR20">
        <v>1</v>
      </c>
      <c r="AS20">
        <v>0.88</v>
      </c>
      <c r="AT20" s="1" t="s">
        <v>306</v>
      </c>
      <c r="AU20">
        <v>282</v>
      </c>
      <c r="AV20" s="1" t="s">
        <v>315</v>
      </c>
      <c r="AW20">
        <v>1</v>
      </c>
      <c r="AX20" t="b">
        <v>0</v>
      </c>
      <c r="AY20" s="1" t="s">
        <v>316</v>
      </c>
      <c r="AZ20">
        <v>282</v>
      </c>
      <c r="BA20" s="1" t="s">
        <v>317</v>
      </c>
    </row>
    <row r="21" spans="1:53" x14ac:dyDescent="0.25">
      <c r="A21">
        <v>76</v>
      </c>
      <c r="B21" s="1" t="s">
        <v>128</v>
      </c>
      <c r="C21">
        <v>284</v>
      </c>
      <c r="D21">
        <v>15.00324</v>
      </c>
      <c r="E21" t="b">
        <v>1</v>
      </c>
      <c r="F21" s="1">
        <v>284</v>
      </c>
      <c r="G21" s="1" t="s">
        <v>305</v>
      </c>
      <c r="H21">
        <v>284</v>
      </c>
      <c r="I21">
        <v>1</v>
      </c>
      <c r="J21">
        <v>0.18</v>
      </c>
      <c r="K21" s="1" t="s">
        <v>306</v>
      </c>
      <c r="L21">
        <v>284</v>
      </c>
      <c r="M21" s="1" t="s">
        <v>307</v>
      </c>
      <c r="N21">
        <v>1</v>
      </c>
      <c r="O21">
        <v>0.02</v>
      </c>
      <c r="P21" s="1" t="s">
        <v>306</v>
      </c>
      <c r="Q21">
        <v>284</v>
      </c>
      <c r="R21" s="1" t="s">
        <v>308</v>
      </c>
      <c r="S21">
        <v>1</v>
      </c>
      <c r="T21">
        <v>0.115</v>
      </c>
      <c r="U21" s="1" t="s">
        <v>306</v>
      </c>
      <c r="V21">
        <v>284</v>
      </c>
      <c r="W21" s="1" t="s">
        <v>309</v>
      </c>
      <c r="X21">
        <v>1</v>
      </c>
      <c r="Y21">
        <v>1.4E-2</v>
      </c>
      <c r="Z21" s="1" t="s">
        <v>306</v>
      </c>
      <c r="AA21">
        <v>284</v>
      </c>
      <c r="AB21" s="1" t="s">
        <v>310</v>
      </c>
      <c r="AC21">
        <v>1</v>
      </c>
      <c r="AD21">
        <v>15.00324</v>
      </c>
      <c r="AE21" s="1" t="s">
        <v>311</v>
      </c>
      <c r="AF21">
        <v>284</v>
      </c>
      <c r="AG21" s="1" t="s">
        <v>312</v>
      </c>
      <c r="AH21">
        <v>1</v>
      </c>
      <c r="AI21">
        <v>6.4000000000000001E-2</v>
      </c>
      <c r="AJ21" s="1" t="s">
        <v>306</v>
      </c>
      <c r="AK21">
        <v>284</v>
      </c>
      <c r="AL21" s="1" t="s">
        <v>313</v>
      </c>
      <c r="AM21">
        <v>1</v>
      </c>
      <c r="AN21">
        <v>0</v>
      </c>
      <c r="AO21" s="1" t="s">
        <v>306</v>
      </c>
      <c r="AP21">
        <v>284</v>
      </c>
      <c r="AQ21" s="1" t="s">
        <v>314</v>
      </c>
      <c r="AR21">
        <v>1</v>
      </c>
      <c r="AS21">
        <v>0.89</v>
      </c>
      <c r="AT21" s="1" t="s">
        <v>306</v>
      </c>
      <c r="AU21">
        <v>284</v>
      </c>
      <c r="AV21" s="1" t="s">
        <v>315</v>
      </c>
      <c r="AW21">
        <v>1</v>
      </c>
      <c r="AX21" t="b">
        <v>0</v>
      </c>
      <c r="AY21" s="1" t="s">
        <v>316</v>
      </c>
      <c r="AZ21">
        <v>284</v>
      </c>
      <c r="BA21" s="1" t="s">
        <v>317</v>
      </c>
    </row>
    <row r="22" spans="1:53" x14ac:dyDescent="0.25">
      <c r="A22">
        <v>78</v>
      </c>
      <c r="B22" s="1" t="s">
        <v>130</v>
      </c>
      <c r="C22">
        <v>286</v>
      </c>
      <c r="D22">
        <v>14.54203</v>
      </c>
      <c r="E22" t="b">
        <v>1</v>
      </c>
      <c r="F22" s="1">
        <v>286</v>
      </c>
      <c r="G22" s="1" t="s">
        <v>305</v>
      </c>
      <c r="H22">
        <v>286</v>
      </c>
      <c r="I22">
        <v>1</v>
      </c>
      <c r="J22">
        <v>0.14699999999999999</v>
      </c>
      <c r="K22" s="1" t="s">
        <v>306</v>
      </c>
      <c r="L22">
        <v>286</v>
      </c>
      <c r="M22" s="1" t="s">
        <v>307</v>
      </c>
      <c r="N22">
        <v>1</v>
      </c>
      <c r="O22">
        <v>0.23300000000000001</v>
      </c>
      <c r="P22" s="1" t="s">
        <v>306</v>
      </c>
      <c r="Q22">
        <v>286</v>
      </c>
      <c r="R22" s="1" t="s">
        <v>308</v>
      </c>
      <c r="S22">
        <v>1</v>
      </c>
      <c r="T22">
        <v>0.112</v>
      </c>
      <c r="U22" s="1" t="s">
        <v>306</v>
      </c>
      <c r="V22">
        <v>286</v>
      </c>
      <c r="W22" s="1" t="s">
        <v>309</v>
      </c>
      <c r="X22">
        <v>1</v>
      </c>
      <c r="Y22">
        <v>1.477272E-2</v>
      </c>
      <c r="Z22" s="1" t="s">
        <v>306</v>
      </c>
      <c r="AA22">
        <v>286</v>
      </c>
      <c r="AB22" s="1" t="s">
        <v>310</v>
      </c>
      <c r="AC22">
        <v>1</v>
      </c>
      <c r="AD22">
        <v>14.54203</v>
      </c>
      <c r="AE22" s="1" t="s">
        <v>311</v>
      </c>
      <c r="AF22">
        <v>286</v>
      </c>
      <c r="AG22" s="1" t="s">
        <v>312</v>
      </c>
      <c r="AH22">
        <v>1</v>
      </c>
      <c r="AI22">
        <v>8.5000000000000006E-2</v>
      </c>
      <c r="AJ22" s="1" t="s">
        <v>306</v>
      </c>
      <c r="AK22">
        <v>286</v>
      </c>
      <c r="AL22" s="1" t="s">
        <v>313</v>
      </c>
      <c r="AM22">
        <v>1</v>
      </c>
      <c r="AN22">
        <v>0</v>
      </c>
      <c r="AO22" s="1" t="s">
        <v>306</v>
      </c>
      <c r="AP22">
        <v>286</v>
      </c>
      <c r="AQ22" s="1" t="s">
        <v>314</v>
      </c>
      <c r="AR22">
        <v>1</v>
      </c>
      <c r="AS22">
        <v>0.89300000000000002</v>
      </c>
      <c r="AT22" s="1" t="s">
        <v>306</v>
      </c>
      <c r="AU22">
        <v>286</v>
      </c>
      <c r="AV22" s="1" t="s">
        <v>315</v>
      </c>
      <c r="AW22">
        <v>1</v>
      </c>
      <c r="AX22" t="b">
        <v>0</v>
      </c>
      <c r="AY22" s="1" t="s">
        <v>316</v>
      </c>
      <c r="AZ22">
        <v>286</v>
      </c>
      <c r="BA22" s="1" t="s">
        <v>317</v>
      </c>
    </row>
    <row r="23" spans="1:53" x14ac:dyDescent="0.25">
      <c r="A23">
        <v>75</v>
      </c>
      <c r="B23" s="1" t="s">
        <v>127</v>
      </c>
      <c r="C23">
        <v>283</v>
      </c>
      <c r="D23">
        <v>14.704359999999999</v>
      </c>
      <c r="E23" t="b">
        <v>1</v>
      </c>
      <c r="F23" s="1">
        <v>283</v>
      </c>
      <c r="G23" s="1" t="s">
        <v>305</v>
      </c>
      <c r="H23">
        <v>283</v>
      </c>
      <c r="I23">
        <v>1</v>
      </c>
      <c r="J23">
        <v>0.1988636</v>
      </c>
      <c r="K23" s="1" t="s">
        <v>306</v>
      </c>
      <c r="L23">
        <v>283</v>
      </c>
      <c r="M23" s="1" t="s">
        <v>307</v>
      </c>
      <c r="N23">
        <v>1</v>
      </c>
      <c r="O23">
        <v>6.25E-2</v>
      </c>
      <c r="P23" s="1" t="s">
        <v>306</v>
      </c>
      <c r="Q23">
        <v>283</v>
      </c>
      <c r="R23" s="1" t="s">
        <v>308</v>
      </c>
      <c r="S23">
        <v>1</v>
      </c>
      <c r="T23">
        <v>9.8863629999999994E-2</v>
      </c>
      <c r="U23" s="1" t="s">
        <v>306</v>
      </c>
      <c r="V23">
        <v>283</v>
      </c>
      <c r="W23" s="1" t="s">
        <v>309</v>
      </c>
      <c r="X23">
        <v>1</v>
      </c>
      <c r="Y23">
        <v>1.5909090000000001E-2</v>
      </c>
      <c r="Z23" s="1" t="s">
        <v>306</v>
      </c>
      <c r="AA23">
        <v>283</v>
      </c>
      <c r="AB23" s="1" t="s">
        <v>310</v>
      </c>
      <c r="AC23">
        <v>1</v>
      </c>
      <c r="AD23">
        <v>14.704359999999999</v>
      </c>
      <c r="AE23" s="1" t="s">
        <v>311</v>
      </c>
      <c r="AF23">
        <v>283</v>
      </c>
      <c r="AG23" s="1" t="s">
        <v>312</v>
      </c>
      <c r="AH23">
        <v>1</v>
      </c>
      <c r="AI23">
        <v>6.8182000000000006E-2</v>
      </c>
      <c r="AJ23" s="1" t="s">
        <v>306</v>
      </c>
      <c r="AK23">
        <v>283</v>
      </c>
      <c r="AL23" s="1" t="s">
        <v>313</v>
      </c>
      <c r="AM23">
        <v>1</v>
      </c>
      <c r="AN23">
        <v>0</v>
      </c>
      <c r="AO23" s="1" t="s">
        <v>306</v>
      </c>
      <c r="AP23">
        <v>283</v>
      </c>
      <c r="AQ23" s="1" t="s">
        <v>314</v>
      </c>
      <c r="AR23">
        <v>1</v>
      </c>
      <c r="AS23">
        <v>0.88</v>
      </c>
      <c r="AT23" s="1" t="s">
        <v>306</v>
      </c>
      <c r="AU23">
        <v>283</v>
      </c>
      <c r="AV23" s="1" t="s">
        <v>315</v>
      </c>
      <c r="AW23">
        <v>1</v>
      </c>
      <c r="AX23" t="b">
        <v>0</v>
      </c>
      <c r="AY23" s="1" t="s">
        <v>316</v>
      </c>
      <c r="AZ23">
        <v>283</v>
      </c>
      <c r="BA23" s="1" t="s">
        <v>317</v>
      </c>
    </row>
    <row r="24" spans="1:53" x14ac:dyDescent="0.25">
      <c r="A24">
        <v>108</v>
      </c>
      <c r="B24" s="1" t="s">
        <v>160</v>
      </c>
      <c r="C24">
        <v>353</v>
      </c>
      <c r="D24">
        <v>1</v>
      </c>
      <c r="E24" t="b">
        <v>1</v>
      </c>
      <c r="F24" s="1" t="s">
        <v>304</v>
      </c>
      <c r="G24" s="1" t="s">
        <v>305</v>
      </c>
      <c r="H24">
        <v>353</v>
      </c>
      <c r="I24">
        <v>1</v>
      </c>
      <c r="J24">
        <v>0.12</v>
      </c>
      <c r="K24" s="1" t="s">
        <v>306</v>
      </c>
      <c r="L24">
        <v>353</v>
      </c>
      <c r="M24" s="1" t="s">
        <v>307</v>
      </c>
      <c r="N24">
        <v>1</v>
      </c>
      <c r="O24">
        <v>0.12</v>
      </c>
      <c r="P24" s="1" t="s">
        <v>306</v>
      </c>
      <c r="Q24">
        <v>353</v>
      </c>
      <c r="R24" s="1" t="s">
        <v>308</v>
      </c>
      <c r="S24">
        <v>1</v>
      </c>
      <c r="T24">
        <v>0.16400000000000001</v>
      </c>
      <c r="U24" s="1" t="s">
        <v>306</v>
      </c>
      <c r="V24">
        <v>353</v>
      </c>
      <c r="W24" s="1" t="s">
        <v>309</v>
      </c>
      <c r="X24">
        <v>1</v>
      </c>
      <c r="Y24">
        <v>4.5999999999999999E-2</v>
      </c>
      <c r="Z24" s="1" t="s">
        <v>306</v>
      </c>
      <c r="AA24">
        <v>353</v>
      </c>
      <c r="AB24" s="1" t="s">
        <v>310</v>
      </c>
      <c r="AC24">
        <v>1</v>
      </c>
      <c r="AD24">
        <v>12.90082</v>
      </c>
      <c r="AE24" s="1" t="s">
        <v>311</v>
      </c>
      <c r="AF24">
        <v>353</v>
      </c>
      <c r="AG24" s="1" t="s">
        <v>312</v>
      </c>
      <c r="AH24">
        <v>1</v>
      </c>
      <c r="AI24">
        <v>0.191</v>
      </c>
      <c r="AJ24" s="1" t="s">
        <v>306</v>
      </c>
      <c r="AK24">
        <v>353</v>
      </c>
      <c r="AL24" s="1" t="s">
        <v>313</v>
      </c>
      <c r="AM24">
        <v>1</v>
      </c>
      <c r="AN24">
        <v>0</v>
      </c>
      <c r="AO24" s="1" t="s">
        <v>306</v>
      </c>
      <c r="AP24">
        <v>353</v>
      </c>
      <c r="AQ24" s="1" t="s">
        <v>314</v>
      </c>
      <c r="AR24">
        <v>1</v>
      </c>
      <c r="AS24">
        <v>0.82</v>
      </c>
      <c r="AT24" s="1" t="s">
        <v>306</v>
      </c>
      <c r="AU24">
        <v>353</v>
      </c>
      <c r="AV24" s="1" t="s">
        <v>315</v>
      </c>
      <c r="AW24">
        <v>1</v>
      </c>
      <c r="AX24" t="b">
        <v>0</v>
      </c>
      <c r="AY24" s="1" t="s">
        <v>316</v>
      </c>
      <c r="AZ24">
        <v>353</v>
      </c>
      <c r="BA24" s="1" t="s">
        <v>317</v>
      </c>
    </row>
    <row r="25" spans="1:53" x14ac:dyDescent="0.25">
      <c r="A25">
        <v>109</v>
      </c>
      <c r="B25" s="1" t="s">
        <v>161</v>
      </c>
      <c r="C25">
        <v>356</v>
      </c>
      <c r="D25">
        <v>1</v>
      </c>
      <c r="E25" t="b">
        <v>1</v>
      </c>
      <c r="F25" s="1" t="s">
        <v>304</v>
      </c>
      <c r="G25" s="1" t="s">
        <v>305</v>
      </c>
      <c r="H25">
        <v>356</v>
      </c>
      <c r="I25">
        <v>1</v>
      </c>
      <c r="J25">
        <v>0.15</v>
      </c>
      <c r="K25" s="1" t="s">
        <v>306</v>
      </c>
      <c r="L25">
        <v>356</v>
      </c>
      <c r="M25" s="1" t="s">
        <v>307</v>
      </c>
      <c r="N25">
        <v>1</v>
      </c>
      <c r="O25">
        <v>0</v>
      </c>
      <c r="P25" s="1" t="s">
        <v>306</v>
      </c>
      <c r="Q25">
        <v>356</v>
      </c>
      <c r="R25" s="1" t="s">
        <v>308</v>
      </c>
      <c r="S25">
        <v>1</v>
      </c>
      <c r="T25">
        <v>0.18</v>
      </c>
      <c r="U25" s="1" t="s">
        <v>306</v>
      </c>
      <c r="V25">
        <v>356</v>
      </c>
      <c r="W25" s="1" t="s">
        <v>309</v>
      </c>
      <c r="X25">
        <v>1</v>
      </c>
      <c r="Y25">
        <v>4.5999999999999999E-2</v>
      </c>
      <c r="Z25" s="1" t="s">
        <v>306</v>
      </c>
      <c r="AA25">
        <v>356</v>
      </c>
      <c r="AB25" s="1" t="s">
        <v>310</v>
      </c>
      <c r="AC25">
        <v>1</v>
      </c>
      <c r="AD25">
        <v>12.32277</v>
      </c>
      <c r="AE25" s="1" t="s">
        <v>311</v>
      </c>
      <c r="AF25">
        <v>356</v>
      </c>
      <c r="AG25" s="1" t="s">
        <v>312</v>
      </c>
      <c r="AH25">
        <v>1</v>
      </c>
      <c r="AI25">
        <v>0.2</v>
      </c>
      <c r="AJ25" s="1" t="s">
        <v>306</v>
      </c>
      <c r="AK25">
        <v>356</v>
      </c>
      <c r="AL25" s="1" t="s">
        <v>313</v>
      </c>
      <c r="AM25">
        <v>1</v>
      </c>
      <c r="AN25">
        <v>0</v>
      </c>
      <c r="AO25" s="1" t="s">
        <v>306</v>
      </c>
      <c r="AP25">
        <v>356</v>
      </c>
      <c r="AQ25" s="1" t="s">
        <v>314</v>
      </c>
      <c r="AR25">
        <v>1</v>
      </c>
      <c r="AS25">
        <v>0.78</v>
      </c>
      <c r="AT25" s="1" t="s">
        <v>306</v>
      </c>
      <c r="AU25">
        <v>356</v>
      </c>
      <c r="AV25" s="1" t="s">
        <v>315</v>
      </c>
      <c r="AW25">
        <v>1</v>
      </c>
      <c r="AX25" t="b">
        <v>0</v>
      </c>
      <c r="AY25" s="1" t="s">
        <v>316</v>
      </c>
      <c r="AZ25">
        <v>356</v>
      </c>
      <c r="BA25" s="1" t="s">
        <v>317</v>
      </c>
    </row>
    <row r="26" spans="1:53" x14ac:dyDescent="0.25">
      <c r="A26">
        <v>103</v>
      </c>
      <c r="B26" s="1" t="s">
        <v>155</v>
      </c>
      <c r="C26">
        <v>324</v>
      </c>
      <c r="D26">
        <v>1</v>
      </c>
      <c r="E26" t="b">
        <v>0</v>
      </c>
      <c r="F26" s="1" t="s">
        <v>304</v>
      </c>
      <c r="G26" s="1" t="s">
        <v>305</v>
      </c>
      <c r="H26">
        <v>324</v>
      </c>
      <c r="I26">
        <v>1</v>
      </c>
      <c r="J26">
        <v>0</v>
      </c>
      <c r="K26" s="1" t="s">
        <v>306</v>
      </c>
      <c r="L26">
        <v>324</v>
      </c>
      <c r="M26" s="1" t="s">
        <v>307</v>
      </c>
      <c r="N26">
        <v>1</v>
      </c>
      <c r="O26">
        <v>0</v>
      </c>
      <c r="P26" s="1" t="s">
        <v>306</v>
      </c>
      <c r="Q26">
        <v>324</v>
      </c>
      <c r="R26" s="1" t="s">
        <v>308</v>
      </c>
      <c r="S26">
        <v>1</v>
      </c>
      <c r="T26">
        <v>0.94</v>
      </c>
      <c r="U26" s="1" t="s">
        <v>306</v>
      </c>
      <c r="V26">
        <v>324</v>
      </c>
      <c r="W26" s="1" t="s">
        <v>309</v>
      </c>
      <c r="X26">
        <v>1</v>
      </c>
      <c r="Y26">
        <v>5.0000000000000001E-3</v>
      </c>
      <c r="Z26" s="1" t="s">
        <v>306</v>
      </c>
      <c r="AA26">
        <v>324</v>
      </c>
      <c r="AB26" s="1" t="s">
        <v>310</v>
      </c>
      <c r="AC26">
        <v>1</v>
      </c>
      <c r="AD26">
        <v>20.482420000000001</v>
      </c>
      <c r="AE26" s="1" t="s">
        <v>311</v>
      </c>
      <c r="AF26">
        <v>324</v>
      </c>
      <c r="AG26" s="1" t="s">
        <v>312</v>
      </c>
      <c r="AH26">
        <v>1</v>
      </c>
      <c r="AI26">
        <v>5.5E-2</v>
      </c>
      <c r="AJ26" s="1" t="s">
        <v>306</v>
      </c>
      <c r="AK26">
        <v>324</v>
      </c>
      <c r="AL26" s="1" t="s">
        <v>313</v>
      </c>
      <c r="AM26">
        <v>1</v>
      </c>
      <c r="AN26">
        <v>0</v>
      </c>
      <c r="AO26" s="1" t="s">
        <v>306</v>
      </c>
      <c r="AP26">
        <v>324</v>
      </c>
      <c r="AQ26" s="1" t="s">
        <v>314</v>
      </c>
      <c r="AR26">
        <v>1</v>
      </c>
      <c r="AS26">
        <v>0.9</v>
      </c>
      <c r="AT26" s="1" t="s">
        <v>306</v>
      </c>
      <c r="AU26">
        <v>324</v>
      </c>
      <c r="AV26" s="1" t="s">
        <v>315</v>
      </c>
      <c r="AW26">
        <v>1</v>
      </c>
      <c r="AX26" t="b">
        <v>0</v>
      </c>
      <c r="AY26" s="1" t="s">
        <v>316</v>
      </c>
      <c r="AZ26">
        <v>324</v>
      </c>
      <c r="BA26" s="1" t="s">
        <v>317</v>
      </c>
    </row>
    <row r="27" spans="1:53" x14ac:dyDescent="0.25">
      <c r="A27">
        <v>88</v>
      </c>
      <c r="B27" s="1" t="s">
        <v>140</v>
      </c>
      <c r="C27">
        <v>297</v>
      </c>
      <c r="D27">
        <v>17.540929999999999</v>
      </c>
      <c r="E27" t="b">
        <v>0</v>
      </c>
      <c r="F27" s="1">
        <v>297</v>
      </c>
      <c r="G27" s="1" t="s">
        <v>305</v>
      </c>
      <c r="H27">
        <v>297</v>
      </c>
      <c r="I27">
        <v>1</v>
      </c>
      <c r="J27">
        <v>4.0000000000000001E-3</v>
      </c>
      <c r="K27" s="1" t="s">
        <v>306</v>
      </c>
      <c r="L27">
        <v>297</v>
      </c>
      <c r="M27" s="1" t="s">
        <v>307</v>
      </c>
      <c r="N27">
        <v>1</v>
      </c>
      <c r="O27">
        <v>0</v>
      </c>
      <c r="P27" s="1" t="s">
        <v>306</v>
      </c>
      <c r="Q27">
        <v>297</v>
      </c>
      <c r="R27" s="1" t="s">
        <v>308</v>
      </c>
      <c r="S27">
        <v>1</v>
      </c>
      <c r="T27">
        <v>0.50800000000000001</v>
      </c>
      <c r="U27" s="1" t="s">
        <v>306</v>
      </c>
      <c r="V27">
        <v>297</v>
      </c>
      <c r="W27" s="1" t="s">
        <v>309</v>
      </c>
      <c r="X27">
        <v>1</v>
      </c>
      <c r="Y27">
        <v>3.6999999999999998E-2</v>
      </c>
      <c r="Z27" s="1" t="s">
        <v>306</v>
      </c>
      <c r="AA27">
        <v>297</v>
      </c>
      <c r="AB27" s="1" t="s">
        <v>310</v>
      </c>
      <c r="AC27">
        <v>1</v>
      </c>
      <c r="AD27">
        <v>17.540929999999999</v>
      </c>
      <c r="AE27" s="1" t="s">
        <v>311</v>
      </c>
      <c r="AF27">
        <v>297</v>
      </c>
      <c r="AG27" s="1" t="s">
        <v>312</v>
      </c>
      <c r="AH27">
        <v>1</v>
      </c>
      <c r="AI27">
        <v>6.7000000000000004E-2</v>
      </c>
      <c r="AJ27" s="1" t="s">
        <v>306</v>
      </c>
      <c r="AK27">
        <v>297</v>
      </c>
      <c r="AL27" s="1" t="s">
        <v>313</v>
      </c>
      <c r="AM27">
        <v>1</v>
      </c>
      <c r="AN27">
        <v>0</v>
      </c>
      <c r="AO27" s="1" t="s">
        <v>306</v>
      </c>
      <c r="AP27">
        <v>297</v>
      </c>
      <c r="AQ27" s="1" t="s">
        <v>314</v>
      </c>
      <c r="AR27">
        <v>1</v>
      </c>
      <c r="AS27">
        <v>0.87</v>
      </c>
      <c r="AT27" s="1" t="s">
        <v>306</v>
      </c>
      <c r="AU27">
        <v>297</v>
      </c>
      <c r="AV27" s="1" t="s">
        <v>315</v>
      </c>
      <c r="AW27">
        <v>1</v>
      </c>
      <c r="AX27" t="b">
        <v>0</v>
      </c>
      <c r="AY27" s="1" t="s">
        <v>316</v>
      </c>
      <c r="AZ27">
        <v>297</v>
      </c>
      <c r="BA27" s="1" t="s">
        <v>317</v>
      </c>
    </row>
    <row r="28" spans="1:53" x14ac:dyDescent="0.25">
      <c r="A28">
        <v>150</v>
      </c>
      <c r="B28" s="1" t="s">
        <v>202</v>
      </c>
      <c r="C28">
        <v>476</v>
      </c>
      <c r="D28">
        <v>1</v>
      </c>
      <c r="E28" t="b">
        <v>1</v>
      </c>
      <c r="F28" s="1" t="s">
        <v>304</v>
      </c>
      <c r="G28" s="1" t="s">
        <v>305</v>
      </c>
      <c r="H28">
        <v>476</v>
      </c>
      <c r="I28">
        <v>1</v>
      </c>
      <c r="J28">
        <v>0.25</v>
      </c>
      <c r="K28" s="1" t="s">
        <v>306</v>
      </c>
      <c r="L28">
        <v>476</v>
      </c>
      <c r="M28" s="1" t="s">
        <v>307</v>
      </c>
      <c r="N28">
        <v>1</v>
      </c>
      <c r="O28">
        <v>0.1</v>
      </c>
      <c r="P28" s="1" t="s">
        <v>306</v>
      </c>
      <c r="Q28">
        <v>476</v>
      </c>
      <c r="R28" s="1" t="s">
        <v>308</v>
      </c>
      <c r="S28">
        <v>1</v>
      </c>
      <c r="T28">
        <v>0.16500000000000001</v>
      </c>
      <c r="U28" s="1" t="s">
        <v>306</v>
      </c>
      <c r="V28">
        <v>476</v>
      </c>
      <c r="W28" s="1" t="s">
        <v>309</v>
      </c>
      <c r="X28">
        <v>1</v>
      </c>
      <c r="Y28">
        <v>2.5000000000000001E-2</v>
      </c>
      <c r="Z28" s="1" t="s">
        <v>306</v>
      </c>
      <c r="AA28">
        <v>476</v>
      </c>
      <c r="AB28" s="1" t="s">
        <v>310</v>
      </c>
      <c r="AC28">
        <v>1</v>
      </c>
      <c r="AD28">
        <v>12.58418</v>
      </c>
      <c r="AE28" s="1" t="s">
        <v>311</v>
      </c>
      <c r="AF28">
        <v>476</v>
      </c>
      <c r="AG28" s="1" t="s">
        <v>312</v>
      </c>
      <c r="AH28">
        <v>1</v>
      </c>
      <c r="AI28">
        <v>0.09</v>
      </c>
      <c r="AJ28" s="1" t="s">
        <v>306</v>
      </c>
      <c r="AK28">
        <v>476</v>
      </c>
      <c r="AL28" s="1" t="s">
        <v>313</v>
      </c>
      <c r="AM28">
        <v>1</v>
      </c>
      <c r="AN28">
        <v>0</v>
      </c>
      <c r="AO28" s="1" t="s">
        <v>306</v>
      </c>
      <c r="AP28">
        <v>476</v>
      </c>
      <c r="AQ28" s="1" t="s">
        <v>314</v>
      </c>
      <c r="AR28">
        <v>1</v>
      </c>
      <c r="AS28">
        <v>0.73</v>
      </c>
      <c r="AT28" s="1" t="s">
        <v>306</v>
      </c>
      <c r="AU28">
        <v>476</v>
      </c>
      <c r="AV28" s="1" t="s">
        <v>315</v>
      </c>
      <c r="AW28">
        <v>1</v>
      </c>
      <c r="AX28" t="b">
        <v>0</v>
      </c>
      <c r="AY28" s="1" t="s">
        <v>316</v>
      </c>
      <c r="AZ28">
        <v>476</v>
      </c>
      <c r="BA28" s="1" t="s">
        <v>317</v>
      </c>
    </row>
    <row r="29" spans="1:53" x14ac:dyDescent="0.25">
      <c r="A29">
        <v>184</v>
      </c>
      <c r="B29" s="1" t="s">
        <v>236</v>
      </c>
      <c r="C29">
        <v>576</v>
      </c>
      <c r="D29">
        <v>1</v>
      </c>
      <c r="E29" t="b">
        <v>1</v>
      </c>
      <c r="F29" s="1" t="s">
        <v>304</v>
      </c>
      <c r="G29" s="1" t="s">
        <v>305</v>
      </c>
      <c r="H29">
        <v>576</v>
      </c>
      <c r="I29">
        <v>1</v>
      </c>
      <c r="J29">
        <v>0.27</v>
      </c>
      <c r="K29" s="1" t="s">
        <v>306</v>
      </c>
      <c r="L29">
        <v>576</v>
      </c>
      <c r="M29" s="1" t="s">
        <v>307</v>
      </c>
      <c r="N29">
        <v>1</v>
      </c>
      <c r="O29">
        <v>0.12</v>
      </c>
      <c r="P29" s="1" t="s">
        <v>306</v>
      </c>
      <c r="Q29">
        <v>576</v>
      </c>
      <c r="R29" s="1" t="s">
        <v>308</v>
      </c>
      <c r="S29">
        <v>1</v>
      </c>
      <c r="T29">
        <v>0.17</v>
      </c>
      <c r="U29" s="1" t="s">
        <v>306</v>
      </c>
      <c r="V29">
        <v>576</v>
      </c>
      <c r="W29" s="1" t="s">
        <v>309</v>
      </c>
      <c r="X29">
        <v>1</v>
      </c>
      <c r="Y29">
        <v>2.5000000000000001E-2</v>
      </c>
      <c r="Z29" s="1" t="s">
        <v>306</v>
      </c>
      <c r="AA29">
        <v>576</v>
      </c>
      <c r="AB29" s="1" t="s">
        <v>310</v>
      </c>
      <c r="AC29">
        <v>1</v>
      </c>
      <c r="AD29">
        <v>12.459009999999999</v>
      </c>
      <c r="AE29" s="1" t="s">
        <v>311</v>
      </c>
      <c r="AF29">
        <v>576</v>
      </c>
      <c r="AG29" s="1" t="s">
        <v>312</v>
      </c>
      <c r="AH29">
        <v>1</v>
      </c>
      <c r="AI29">
        <v>0.09</v>
      </c>
      <c r="AJ29" s="1" t="s">
        <v>306</v>
      </c>
      <c r="AK29">
        <v>576</v>
      </c>
      <c r="AL29" s="1" t="s">
        <v>313</v>
      </c>
      <c r="AM29">
        <v>1</v>
      </c>
      <c r="AN29">
        <v>0</v>
      </c>
      <c r="AO29" s="1" t="s">
        <v>306</v>
      </c>
      <c r="AP29">
        <v>576</v>
      </c>
      <c r="AQ29" s="1" t="s">
        <v>314</v>
      </c>
      <c r="AR29">
        <v>1</v>
      </c>
      <c r="AS29">
        <v>0.72</v>
      </c>
      <c r="AT29" s="1" t="s">
        <v>306</v>
      </c>
      <c r="AU29">
        <v>576</v>
      </c>
      <c r="AV29" s="1" t="s">
        <v>315</v>
      </c>
      <c r="AW29">
        <v>1</v>
      </c>
      <c r="AX29" t="b">
        <v>0</v>
      </c>
      <c r="AY29" s="1" t="s">
        <v>316</v>
      </c>
      <c r="AZ29">
        <v>576</v>
      </c>
      <c r="BA29" s="1" t="s">
        <v>317</v>
      </c>
    </row>
    <row r="30" spans="1:53" x14ac:dyDescent="0.25">
      <c r="A30">
        <v>36</v>
      </c>
      <c r="B30" s="1" t="s">
        <v>88</v>
      </c>
      <c r="C30">
        <v>211</v>
      </c>
      <c r="D30">
        <v>15.946149999999999</v>
      </c>
      <c r="E30" t="b">
        <v>1</v>
      </c>
      <c r="F30" s="1">
        <v>211</v>
      </c>
      <c r="G30" s="1" t="s">
        <v>305</v>
      </c>
      <c r="H30">
        <v>211</v>
      </c>
      <c r="I30">
        <v>1</v>
      </c>
      <c r="J30">
        <v>8.5000000000000006E-2</v>
      </c>
      <c r="K30" s="1" t="s">
        <v>306</v>
      </c>
      <c r="L30">
        <v>211</v>
      </c>
      <c r="M30" s="1" t="s">
        <v>307</v>
      </c>
      <c r="N30">
        <v>1</v>
      </c>
      <c r="O30">
        <v>0.45</v>
      </c>
      <c r="P30" s="1" t="s">
        <v>306</v>
      </c>
      <c r="Q30">
        <v>211</v>
      </c>
      <c r="R30" s="1" t="s">
        <v>308</v>
      </c>
      <c r="S30">
        <v>1</v>
      </c>
      <c r="T30">
        <v>0.314</v>
      </c>
      <c r="U30" s="1" t="s">
        <v>306</v>
      </c>
      <c r="V30">
        <v>211</v>
      </c>
      <c r="W30" s="1" t="s">
        <v>309</v>
      </c>
      <c r="X30">
        <v>1</v>
      </c>
      <c r="Y30">
        <v>1.2999999999999999E-2</v>
      </c>
      <c r="Z30" s="1" t="s">
        <v>306</v>
      </c>
      <c r="AA30">
        <v>211</v>
      </c>
      <c r="AB30" s="1" t="s">
        <v>310</v>
      </c>
      <c r="AC30">
        <v>1</v>
      </c>
      <c r="AD30">
        <v>15.946149999999999</v>
      </c>
      <c r="AE30" s="1" t="s">
        <v>311</v>
      </c>
      <c r="AF30">
        <v>211</v>
      </c>
      <c r="AG30" s="1" t="s">
        <v>312</v>
      </c>
      <c r="AH30">
        <v>1</v>
      </c>
      <c r="AI30">
        <v>3.5000000000000003E-2</v>
      </c>
      <c r="AJ30" s="1" t="s">
        <v>306</v>
      </c>
      <c r="AK30">
        <v>211</v>
      </c>
      <c r="AL30" s="1" t="s">
        <v>313</v>
      </c>
      <c r="AM30">
        <v>1</v>
      </c>
      <c r="AN30">
        <v>0</v>
      </c>
      <c r="AO30" s="1" t="s">
        <v>306</v>
      </c>
      <c r="AP30">
        <v>211</v>
      </c>
      <c r="AQ30" s="1" t="s">
        <v>314</v>
      </c>
      <c r="AR30">
        <v>1</v>
      </c>
      <c r="AS30">
        <v>0.84379999999999999</v>
      </c>
      <c r="AT30" s="1" t="s">
        <v>306</v>
      </c>
      <c r="AU30">
        <v>211</v>
      </c>
      <c r="AV30" s="1" t="s">
        <v>315</v>
      </c>
      <c r="AW30">
        <v>1</v>
      </c>
      <c r="AX30" t="b">
        <v>0</v>
      </c>
      <c r="AY30" s="1" t="s">
        <v>316</v>
      </c>
      <c r="AZ30">
        <v>211</v>
      </c>
      <c r="BA30" s="1" t="s">
        <v>317</v>
      </c>
    </row>
    <row r="31" spans="1:53" x14ac:dyDescent="0.25">
      <c r="A31">
        <v>251</v>
      </c>
      <c r="B31" s="1" t="s">
        <v>302</v>
      </c>
      <c r="C31">
        <v>912</v>
      </c>
      <c r="D31">
        <v>2</v>
      </c>
      <c r="E31" t="b">
        <v>0</v>
      </c>
      <c r="F31" s="1" t="s">
        <v>304</v>
      </c>
      <c r="G31" s="1" t="s">
        <v>305</v>
      </c>
      <c r="H31">
        <v>912</v>
      </c>
      <c r="I31">
        <v>1</v>
      </c>
      <c r="J31">
        <v>0</v>
      </c>
      <c r="K31" s="1" t="s">
        <v>306</v>
      </c>
      <c r="L31">
        <v>912</v>
      </c>
      <c r="M31" s="1" t="s">
        <v>307</v>
      </c>
      <c r="N31">
        <v>1</v>
      </c>
      <c r="O31">
        <v>0</v>
      </c>
      <c r="P31" s="1" t="s">
        <v>306</v>
      </c>
      <c r="Q31">
        <v>912</v>
      </c>
      <c r="R31" s="1" t="s">
        <v>308</v>
      </c>
      <c r="S31">
        <v>1</v>
      </c>
      <c r="T31">
        <v>0</v>
      </c>
      <c r="U31" s="1" t="s">
        <v>306</v>
      </c>
      <c r="V31">
        <v>912</v>
      </c>
      <c r="W31" s="1" t="s">
        <v>309</v>
      </c>
      <c r="X31">
        <v>1</v>
      </c>
      <c r="Y31">
        <v>0</v>
      </c>
      <c r="Z31" s="1" t="s">
        <v>306</v>
      </c>
      <c r="AA31">
        <v>912</v>
      </c>
      <c r="AB31" s="1" t="s">
        <v>310</v>
      </c>
      <c r="AC31">
        <v>1</v>
      </c>
      <c r="AD31">
        <v>0</v>
      </c>
      <c r="AE31" s="1" t="s">
        <v>311</v>
      </c>
      <c r="AF31">
        <v>912</v>
      </c>
      <c r="AG31" s="1" t="s">
        <v>312</v>
      </c>
      <c r="AH31">
        <v>1</v>
      </c>
      <c r="AI31">
        <v>1</v>
      </c>
      <c r="AJ31" s="1" t="s">
        <v>306</v>
      </c>
      <c r="AK31">
        <v>912</v>
      </c>
      <c r="AL31" s="1" t="s">
        <v>313</v>
      </c>
      <c r="AM31">
        <v>1</v>
      </c>
      <c r="AN31">
        <v>75.599999999999994</v>
      </c>
      <c r="AO31" s="1" t="s">
        <v>306</v>
      </c>
      <c r="AP31">
        <v>912</v>
      </c>
      <c r="AQ31" s="1" t="s">
        <v>314</v>
      </c>
      <c r="AR31">
        <v>1</v>
      </c>
      <c r="AS31">
        <v>0</v>
      </c>
      <c r="AT31" s="1" t="s">
        <v>306</v>
      </c>
      <c r="AU31">
        <v>912</v>
      </c>
      <c r="AV31" s="1" t="s">
        <v>315</v>
      </c>
      <c r="AW31">
        <v>1</v>
      </c>
      <c r="AX31" t="b">
        <v>0</v>
      </c>
      <c r="AY31" s="1" t="s">
        <v>316</v>
      </c>
      <c r="AZ31">
        <v>912</v>
      </c>
      <c r="BA31" s="1" t="s">
        <v>317</v>
      </c>
    </row>
    <row r="32" spans="1:53" x14ac:dyDescent="0.25">
      <c r="A32">
        <v>106</v>
      </c>
      <c r="B32" s="1" t="s">
        <v>158</v>
      </c>
      <c r="C32">
        <v>348</v>
      </c>
      <c r="D32">
        <v>1</v>
      </c>
      <c r="E32" t="b">
        <v>0</v>
      </c>
      <c r="F32" s="1" t="s">
        <v>304</v>
      </c>
      <c r="G32" s="1" t="s">
        <v>305</v>
      </c>
      <c r="H32">
        <v>348</v>
      </c>
      <c r="I32">
        <v>1</v>
      </c>
      <c r="J32">
        <v>0</v>
      </c>
      <c r="K32" s="1" t="s">
        <v>306</v>
      </c>
      <c r="L32">
        <v>348</v>
      </c>
      <c r="M32" s="1" t="s">
        <v>307</v>
      </c>
      <c r="N32">
        <v>1</v>
      </c>
      <c r="O32">
        <v>0</v>
      </c>
      <c r="P32" s="1" t="s">
        <v>306</v>
      </c>
      <c r="Q32">
        <v>348</v>
      </c>
      <c r="R32" s="1" t="s">
        <v>308</v>
      </c>
      <c r="S32">
        <v>1</v>
      </c>
      <c r="T32">
        <v>0</v>
      </c>
      <c r="U32" s="1" t="s">
        <v>306</v>
      </c>
      <c r="V32">
        <v>348</v>
      </c>
      <c r="W32" s="1" t="s">
        <v>309</v>
      </c>
      <c r="X32">
        <v>1</v>
      </c>
      <c r="Y32">
        <v>0.85</v>
      </c>
      <c r="Z32" s="1" t="s">
        <v>306</v>
      </c>
      <c r="AA32">
        <v>348</v>
      </c>
      <c r="AB32" s="1" t="s">
        <v>310</v>
      </c>
      <c r="AC32">
        <v>1</v>
      </c>
      <c r="AD32">
        <v>27.289449999999999</v>
      </c>
      <c r="AE32" s="1" t="s">
        <v>311</v>
      </c>
      <c r="AF32">
        <v>348</v>
      </c>
      <c r="AG32" s="1" t="s">
        <v>312</v>
      </c>
      <c r="AH32">
        <v>1</v>
      </c>
      <c r="AI32">
        <v>0.15</v>
      </c>
      <c r="AJ32" s="1" t="s">
        <v>306</v>
      </c>
      <c r="AK32">
        <v>348</v>
      </c>
      <c r="AL32" s="1" t="s">
        <v>313</v>
      </c>
      <c r="AM32">
        <v>1</v>
      </c>
      <c r="AN32">
        <v>0</v>
      </c>
      <c r="AO32" s="1" t="s">
        <v>306</v>
      </c>
      <c r="AP32">
        <v>348</v>
      </c>
      <c r="AQ32" s="1" t="s">
        <v>314</v>
      </c>
      <c r="AR32">
        <v>1</v>
      </c>
      <c r="AS32">
        <v>0.94823999999999997</v>
      </c>
      <c r="AT32" s="1" t="s">
        <v>306</v>
      </c>
      <c r="AU32">
        <v>348</v>
      </c>
      <c r="AV32" s="1" t="s">
        <v>315</v>
      </c>
      <c r="AW32">
        <v>1</v>
      </c>
      <c r="AX32" t="b">
        <v>0</v>
      </c>
      <c r="AY32" s="1" t="s">
        <v>316</v>
      </c>
      <c r="AZ32">
        <v>348</v>
      </c>
      <c r="BA32" s="1" t="s">
        <v>317</v>
      </c>
    </row>
    <row r="33" spans="1:53" x14ac:dyDescent="0.25">
      <c r="A33">
        <v>73</v>
      </c>
      <c r="B33" s="1" t="s">
        <v>125</v>
      </c>
      <c r="C33">
        <v>278</v>
      </c>
      <c r="D33">
        <v>12.33506</v>
      </c>
      <c r="E33" t="b">
        <v>0</v>
      </c>
      <c r="F33" s="1">
        <v>278</v>
      </c>
      <c r="G33" s="1" t="s">
        <v>305</v>
      </c>
      <c r="H33">
        <v>278</v>
      </c>
      <c r="I33">
        <v>1</v>
      </c>
      <c r="J33">
        <v>0</v>
      </c>
      <c r="K33" s="1" t="s">
        <v>306</v>
      </c>
      <c r="L33">
        <v>278</v>
      </c>
      <c r="M33" s="1" t="s">
        <v>307</v>
      </c>
      <c r="N33">
        <v>1</v>
      </c>
      <c r="O33">
        <v>0.61799999999999999</v>
      </c>
      <c r="P33" s="1" t="s">
        <v>306</v>
      </c>
      <c r="Q33">
        <v>278</v>
      </c>
      <c r="R33" s="1" t="s">
        <v>308</v>
      </c>
      <c r="S33">
        <v>1</v>
      </c>
      <c r="T33">
        <v>5.5E-2</v>
      </c>
      <c r="U33" s="1" t="s">
        <v>306</v>
      </c>
      <c r="V33">
        <v>278</v>
      </c>
      <c r="W33" s="1" t="s">
        <v>309</v>
      </c>
      <c r="X33">
        <v>1</v>
      </c>
      <c r="Y33">
        <v>4.0000000000000001E-3</v>
      </c>
      <c r="Z33" s="1" t="s">
        <v>306</v>
      </c>
      <c r="AA33">
        <v>278</v>
      </c>
      <c r="AB33" s="1" t="s">
        <v>310</v>
      </c>
      <c r="AC33">
        <v>1</v>
      </c>
      <c r="AD33">
        <v>12.33506</v>
      </c>
      <c r="AE33" s="1" t="s">
        <v>311</v>
      </c>
      <c r="AF33">
        <v>278</v>
      </c>
      <c r="AG33" s="1" t="s">
        <v>312</v>
      </c>
      <c r="AH33">
        <v>1</v>
      </c>
      <c r="AI33">
        <v>0.14199999999999999</v>
      </c>
      <c r="AJ33" s="1" t="s">
        <v>306</v>
      </c>
      <c r="AK33">
        <v>278</v>
      </c>
      <c r="AL33" s="1" t="s">
        <v>313</v>
      </c>
      <c r="AM33">
        <v>1</v>
      </c>
      <c r="AN33">
        <v>0</v>
      </c>
      <c r="AO33" s="1" t="s">
        <v>306</v>
      </c>
      <c r="AP33">
        <v>278</v>
      </c>
      <c r="AQ33" s="1" t="s">
        <v>314</v>
      </c>
      <c r="AR33">
        <v>1</v>
      </c>
      <c r="AS33">
        <v>0.86</v>
      </c>
      <c r="AT33" s="1" t="s">
        <v>306</v>
      </c>
      <c r="AU33">
        <v>278</v>
      </c>
      <c r="AV33" s="1" t="s">
        <v>315</v>
      </c>
      <c r="AW33">
        <v>1</v>
      </c>
      <c r="AX33" t="b">
        <v>0</v>
      </c>
      <c r="AY33" s="1" t="s">
        <v>316</v>
      </c>
      <c r="AZ33">
        <v>278</v>
      </c>
      <c r="BA33" s="1" t="s">
        <v>317</v>
      </c>
    </row>
    <row r="34" spans="1:53" x14ac:dyDescent="0.25">
      <c r="A34">
        <v>123</v>
      </c>
      <c r="B34" s="1" t="s">
        <v>175</v>
      </c>
      <c r="C34">
        <v>391</v>
      </c>
      <c r="D34">
        <v>1</v>
      </c>
      <c r="E34" t="b">
        <v>0</v>
      </c>
      <c r="F34" s="1" t="s">
        <v>304</v>
      </c>
      <c r="G34" s="1" t="s">
        <v>305</v>
      </c>
      <c r="H34">
        <v>391</v>
      </c>
      <c r="I34">
        <v>1</v>
      </c>
      <c r="J34">
        <v>0.113</v>
      </c>
      <c r="K34" s="1" t="s">
        <v>306</v>
      </c>
      <c r="L34">
        <v>391</v>
      </c>
      <c r="M34" s="1" t="s">
        <v>307</v>
      </c>
      <c r="N34">
        <v>1</v>
      </c>
      <c r="O34">
        <v>0.6</v>
      </c>
      <c r="P34" s="1" t="s">
        <v>306</v>
      </c>
      <c r="Q34">
        <v>391</v>
      </c>
      <c r="R34" s="1" t="s">
        <v>308</v>
      </c>
      <c r="S34">
        <v>1</v>
      </c>
      <c r="T34">
        <v>0.105</v>
      </c>
      <c r="U34" s="1" t="s">
        <v>306</v>
      </c>
      <c r="V34">
        <v>391</v>
      </c>
      <c r="W34" s="1" t="s">
        <v>309</v>
      </c>
      <c r="X34">
        <v>1</v>
      </c>
      <c r="Y34">
        <v>0</v>
      </c>
      <c r="Z34" s="1" t="s">
        <v>306</v>
      </c>
      <c r="AA34">
        <v>391</v>
      </c>
      <c r="AB34" s="1" t="s">
        <v>310</v>
      </c>
      <c r="AC34">
        <v>1</v>
      </c>
      <c r="AD34">
        <v>13.960570000000001</v>
      </c>
      <c r="AE34" s="1" t="s">
        <v>311</v>
      </c>
      <c r="AF34">
        <v>391</v>
      </c>
      <c r="AG34" s="1" t="s">
        <v>312</v>
      </c>
      <c r="AH34">
        <v>1</v>
      </c>
      <c r="AI34">
        <v>8.3000000000000004E-2</v>
      </c>
      <c r="AJ34" s="1" t="s">
        <v>306</v>
      </c>
      <c r="AK34">
        <v>391</v>
      </c>
      <c r="AL34" s="1" t="s">
        <v>313</v>
      </c>
      <c r="AM34">
        <v>1</v>
      </c>
      <c r="AN34">
        <v>0</v>
      </c>
      <c r="AO34" s="1" t="s">
        <v>306</v>
      </c>
      <c r="AP34">
        <v>391</v>
      </c>
      <c r="AQ34" s="1" t="s">
        <v>314</v>
      </c>
      <c r="AR34">
        <v>1</v>
      </c>
      <c r="AS34">
        <v>0.89</v>
      </c>
      <c r="AT34" s="1" t="s">
        <v>306</v>
      </c>
      <c r="AU34">
        <v>391</v>
      </c>
      <c r="AV34" s="1" t="s">
        <v>315</v>
      </c>
      <c r="AW34">
        <v>1</v>
      </c>
      <c r="AX34" t="b">
        <v>0</v>
      </c>
      <c r="AY34" s="1" t="s">
        <v>316</v>
      </c>
      <c r="AZ34">
        <v>391</v>
      </c>
      <c r="BA34" s="1" t="s">
        <v>317</v>
      </c>
    </row>
    <row r="35" spans="1:53" x14ac:dyDescent="0.25">
      <c r="A35">
        <v>84</v>
      </c>
      <c r="B35" s="1" t="s">
        <v>136</v>
      </c>
      <c r="C35">
        <v>292</v>
      </c>
      <c r="D35">
        <v>12.08142</v>
      </c>
      <c r="E35" t="b">
        <v>0</v>
      </c>
      <c r="F35" s="1">
        <v>292</v>
      </c>
      <c r="G35" s="1" t="s">
        <v>305</v>
      </c>
      <c r="H35">
        <v>292</v>
      </c>
      <c r="I35">
        <v>1</v>
      </c>
      <c r="J35">
        <v>0.53500000000000003</v>
      </c>
      <c r="K35" s="1" t="s">
        <v>306</v>
      </c>
      <c r="L35">
        <v>292</v>
      </c>
      <c r="M35" s="1" t="s">
        <v>307</v>
      </c>
      <c r="N35">
        <v>1</v>
      </c>
      <c r="O35">
        <v>0</v>
      </c>
      <c r="P35" s="1" t="s">
        <v>306</v>
      </c>
      <c r="Q35">
        <v>292</v>
      </c>
      <c r="R35" s="1" t="s">
        <v>308</v>
      </c>
      <c r="S35">
        <v>1</v>
      </c>
      <c r="T35">
        <v>1.9E-2</v>
      </c>
      <c r="U35" s="1" t="s">
        <v>306</v>
      </c>
      <c r="V35">
        <v>292</v>
      </c>
      <c r="W35" s="1" t="s">
        <v>309</v>
      </c>
      <c r="X35">
        <v>1</v>
      </c>
      <c r="Y35">
        <v>4.0000000000000001E-3</v>
      </c>
      <c r="Z35" s="1" t="s">
        <v>306</v>
      </c>
      <c r="AA35">
        <v>292</v>
      </c>
      <c r="AB35" s="1" t="s">
        <v>310</v>
      </c>
      <c r="AC35">
        <v>1</v>
      </c>
      <c r="AD35">
        <v>12.08142</v>
      </c>
      <c r="AE35" s="1" t="s">
        <v>311</v>
      </c>
      <c r="AF35">
        <v>292</v>
      </c>
      <c r="AG35" s="1" t="s">
        <v>312</v>
      </c>
      <c r="AH35">
        <v>1</v>
      </c>
      <c r="AI35">
        <v>0.19400000000000001</v>
      </c>
      <c r="AJ35" s="1" t="s">
        <v>306</v>
      </c>
      <c r="AK35">
        <v>292</v>
      </c>
      <c r="AL35" s="1" t="s">
        <v>313</v>
      </c>
      <c r="AM35">
        <v>1</v>
      </c>
      <c r="AN35">
        <v>0</v>
      </c>
      <c r="AO35" s="1" t="s">
        <v>306</v>
      </c>
      <c r="AP35">
        <v>292</v>
      </c>
      <c r="AQ35" s="1" t="s">
        <v>314</v>
      </c>
      <c r="AR35">
        <v>1</v>
      </c>
      <c r="AS35">
        <v>0.88</v>
      </c>
      <c r="AT35" s="1" t="s">
        <v>306</v>
      </c>
      <c r="AU35">
        <v>292</v>
      </c>
      <c r="AV35" s="1" t="s">
        <v>315</v>
      </c>
      <c r="AW35">
        <v>1</v>
      </c>
      <c r="AX35" t="b">
        <v>0</v>
      </c>
      <c r="AY35" s="1" t="s">
        <v>316</v>
      </c>
      <c r="AZ35">
        <v>292</v>
      </c>
      <c r="BA35" s="1" t="s">
        <v>317</v>
      </c>
    </row>
    <row r="36" spans="1:53" x14ac:dyDescent="0.25">
      <c r="A36">
        <v>231</v>
      </c>
      <c r="B36" s="1" t="s">
        <v>282</v>
      </c>
      <c r="C36">
        <v>720</v>
      </c>
      <c r="D36">
        <v>1</v>
      </c>
      <c r="E36" t="b">
        <v>0</v>
      </c>
      <c r="F36" s="1" t="s">
        <v>304</v>
      </c>
      <c r="G36" s="1" t="s">
        <v>305</v>
      </c>
      <c r="H36">
        <v>720</v>
      </c>
      <c r="I36">
        <v>1</v>
      </c>
      <c r="J36">
        <v>0</v>
      </c>
      <c r="K36" s="1" t="s">
        <v>306</v>
      </c>
      <c r="L36">
        <v>720</v>
      </c>
      <c r="M36" s="1" t="s">
        <v>307</v>
      </c>
      <c r="N36">
        <v>1</v>
      </c>
      <c r="P36" s="1" t="s">
        <v>306</v>
      </c>
      <c r="Q36">
        <v>720</v>
      </c>
      <c r="R36" s="1" t="s">
        <v>308</v>
      </c>
      <c r="S36">
        <v>1</v>
      </c>
      <c r="T36">
        <v>0</v>
      </c>
      <c r="U36" s="1" t="s">
        <v>306</v>
      </c>
      <c r="V36">
        <v>720</v>
      </c>
      <c r="W36" s="1" t="s">
        <v>309</v>
      </c>
      <c r="X36">
        <v>1</v>
      </c>
      <c r="Z36" s="1" t="s">
        <v>306</v>
      </c>
      <c r="AA36">
        <v>720</v>
      </c>
      <c r="AB36" s="1" t="s">
        <v>310</v>
      </c>
      <c r="AC36">
        <v>1</v>
      </c>
      <c r="AD36">
        <v>0</v>
      </c>
      <c r="AE36" s="1" t="s">
        <v>311</v>
      </c>
      <c r="AF36">
        <v>720</v>
      </c>
      <c r="AG36" s="1" t="s">
        <v>312</v>
      </c>
      <c r="AH36">
        <v>1</v>
      </c>
      <c r="AI36">
        <v>0.9</v>
      </c>
      <c r="AJ36" s="1" t="s">
        <v>306</v>
      </c>
      <c r="AK36">
        <v>720</v>
      </c>
      <c r="AL36" s="1" t="s">
        <v>313</v>
      </c>
      <c r="AM36">
        <v>1</v>
      </c>
      <c r="AN36">
        <v>0</v>
      </c>
      <c r="AO36" s="1" t="s">
        <v>306</v>
      </c>
      <c r="AP36">
        <v>720</v>
      </c>
      <c r="AQ36" s="1" t="s">
        <v>314</v>
      </c>
      <c r="AR36">
        <v>1</v>
      </c>
      <c r="AT36" s="1" t="s">
        <v>306</v>
      </c>
      <c r="AU36">
        <v>720</v>
      </c>
      <c r="AV36" s="1" t="s">
        <v>315</v>
      </c>
      <c r="AW36">
        <v>1</v>
      </c>
      <c r="AX36" t="b">
        <v>0</v>
      </c>
      <c r="AY36" s="1" t="s">
        <v>316</v>
      </c>
      <c r="AZ36">
        <v>720</v>
      </c>
      <c r="BA36" s="1" t="s">
        <v>317</v>
      </c>
    </row>
    <row r="37" spans="1:53" x14ac:dyDescent="0.25">
      <c r="A37">
        <v>83</v>
      </c>
      <c r="B37" s="1" t="s">
        <v>135</v>
      </c>
      <c r="C37">
        <v>291</v>
      </c>
      <c r="D37">
        <v>14.681290000000001</v>
      </c>
      <c r="E37" t="b">
        <v>0</v>
      </c>
      <c r="F37" s="1">
        <v>291</v>
      </c>
      <c r="G37" s="1" t="s">
        <v>305</v>
      </c>
      <c r="H37">
        <v>291</v>
      </c>
      <c r="I37">
        <v>1</v>
      </c>
      <c r="J37">
        <v>0.13333329999999999</v>
      </c>
      <c r="K37" s="1" t="s">
        <v>306</v>
      </c>
      <c r="L37">
        <v>291</v>
      </c>
      <c r="M37" s="1" t="s">
        <v>307</v>
      </c>
      <c r="N37">
        <v>1</v>
      </c>
      <c r="O37">
        <v>0.25</v>
      </c>
      <c r="P37" s="1" t="s">
        <v>306</v>
      </c>
      <c r="Q37">
        <v>291</v>
      </c>
      <c r="R37" s="1" t="s">
        <v>308</v>
      </c>
      <c r="S37">
        <v>1</v>
      </c>
      <c r="T37">
        <v>6.6666660000000003E-2</v>
      </c>
      <c r="U37" s="1" t="s">
        <v>306</v>
      </c>
      <c r="V37">
        <v>291</v>
      </c>
      <c r="W37" s="1" t="s">
        <v>309</v>
      </c>
      <c r="X37">
        <v>1</v>
      </c>
      <c r="Y37">
        <v>2.777777E-2</v>
      </c>
      <c r="Z37" s="1" t="s">
        <v>306</v>
      </c>
      <c r="AA37">
        <v>291</v>
      </c>
      <c r="AB37" s="1" t="s">
        <v>310</v>
      </c>
      <c r="AC37">
        <v>1</v>
      </c>
      <c r="AD37">
        <v>14.681290000000001</v>
      </c>
      <c r="AE37" s="1" t="s">
        <v>311</v>
      </c>
      <c r="AF37">
        <v>291</v>
      </c>
      <c r="AG37" s="1" t="s">
        <v>312</v>
      </c>
      <c r="AH37">
        <v>1</v>
      </c>
      <c r="AI37">
        <v>6.6666000000000003E-2</v>
      </c>
      <c r="AJ37" s="1" t="s">
        <v>306</v>
      </c>
      <c r="AK37">
        <v>291</v>
      </c>
      <c r="AL37" s="1" t="s">
        <v>313</v>
      </c>
      <c r="AM37">
        <v>1</v>
      </c>
      <c r="AN37">
        <v>0</v>
      </c>
      <c r="AO37" s="1" t="s">
        <v>306</v>
      </c>
      <c r="AP37">
        <v>291</v>
      </c>
      <c r="AQ37" s="1" t="s">
        <v>314</v>
      </c>
      <c r="AR37">
        <v>1</v>
      </c>
      <c r="AS37">
        <v>0.89</v>
      </c>
      <c r="AT37" s="1" t="s">
        <v>306</v>
      </c>
      <c r="AU37">
        <v>291</v>
      </c>
      <c r="AV37" s="1" t="s">
        <v>315</v>
      </c>
      <c r="AW37">
        <v>1</v>
      </c>
      <c r="AX37" t="b">
        <v>0</v>
      </c>
      <c r="AY37" s="1" t="s">
        <v>316</v>
      </c>
      <c r="AZ37">
        <v>291</v>
      </c>
      <c r="BA37" s="1" t="s">
        <v>317</v>
      </c>
    </row>
    <row r="38" spans="1:53" x14ac:dyDescent="0.25">
      <c r="A38">
        <v>210</v>
      </c>
      <c r="B38" s="1" t="s">
        <v>262</v>
      </c>
      <c r="C38">
        <v>625</v>
      </c>
      <c r="D38">
        <v>1</v>
      </c>
      <c r="E38" t="b">
        <v>0</v>
      </c>
      <c r="F38" s="1" t="s">
        <v>304</v>
      </c>
      <c r="G38" s="1" t="s">
        <v>305</v>
      </c>
      <c r="H38">
        <v>625</v>
      </c>
      <c r="I38">
        <v>1</v>
      </c>
      <c r="J38">
        <v>0.28699999999999998</v>
      </c>
      <c r="K38" s="1" t="s">
        <v>306</v>
      </c>
      <c r="L38">
        <v>625</v>
      </c>
      <c r="M38" s="1" t="s">
        <v>307</v>
      </c>
      <c r="N38">
        <v>1</v>
      </c>
      <c r="O38">
        <v>9.5000000000000001E-2</v>
      </c>
      <c r="P38" s="1" t="s">
        <v>306</v>
      </c>
      <c r="Q38">
        <v>625</v>
      </c>
      <c r="R38" s="1" t="s">
        <v>308</v>
      </c>
      <c r="S38">
        <v>1</v>
      </c>
      <c r="T38">
        <v>0.13200000000000001</v>
      </c>
      <c r="U38" s="1" t="s">
        <v>306</v>
      </c>
      <c r="V38">
        <v>625</v>
      </c>
      <c r="W38" s="1" t="s">
        <v>309</v>
      </c>
      <c r="X38">
        <v>1</v>
      </c>
      <c r="Y38">
        <v>2.4E-2</v>
      </c>
      <c r="Z38" s="1" t="s">
        <v>306</v>
      </c>
      <c r="AA38">
        <v>625</v>
      </c>
      <c r="AB38" s="1" t="s">
        <v>310</v>
      </c>
      <c r="AC38">
        <v>1</v>
      </c>
      <c r="AD38">
        <v>11.9434</v>
      </c>
      <c r="AE38" s="1" t="s">
        <v>311</v>
      </c>
      <c r="AF38">
        <v>625</v>
      </c>
      <c r="AG38" s="1" t="s">
        <v>312</v>
      </c>
      <c r="AH38">
        <v>1</v>
      </c>
      <c r="AI38">
        <v>8.5000000000000006E-2</v>
      </c>
      <c r="AJ38" s="1" t="s">
        <v>306</v>
      </c>
      <c r="AK38">
        <v>625</v>
      </c>
      <c r="AL38" s="1" t="s">
        <v>313</v>
      </c>
      <c r="AM38">
        <v>1</v>
      </c>
      <c r="AN38">
        <v>0</v>
      </c>
      <c r="AO38" s="1" t="s">
        <v>306</v>
      </c>
      <c r="AP38">
        <v>625</v>
      </c>
      <c r="AQ38" s="1" t="s">
        <v>314</v>
      </c>
      <c r="AR38">
        <v>1</v>
      </c>
      <c r="AS38">
        <v>0.7</v>
      </c>
      <c r="AT38" s="1" t="s">
        <v>306</v>
      </c>
      <c r="AU38">
        <v>625</v>
      </c>
      <c r="AV38" s="1" t="s">
        <v>315</v>
      </c>
      <c r="AW38">
        <v>1</v>
      </c>
      <c r="AX38" t="b">
        <v>0</v>
      </c>
      <c r="AY38" s="1" t="s">
        <v>316</v>
      </c>
      <c r="AZ38">
        <v>625</v>
      </c>
      <c r="BA38" s="1" t="s">
        <v>317</v>
      </c>
    </row>
    <row r="39" spans="1:53" x14ac:dyDescent="0.25">
      <c r="A39">
        <v>211</v>
      </c>
      <c r="B39" s="1" t="s">
        <v>263</v>
      </c>
      <c r="C39">
        <v>626</v>
      </c>
      <c r="D39">
        <v>1</v>
      </c>
      <c r="E39" t="b">
        <v>0</v>
      </c>
      <c r="F39" s="1" t="s">
        <v>304</v>
      </c>
      <c r="G39" s="1" t="s">
        <v>305</v>
      </c>
      <c r="H39">
        <v>626</v>
      </c>
      <c r="I39">
        <v>1</v>
      </c>
      <c r="J39">
        <v>0.33400000000000002</v>
      </c>
      <c r="K39" s="1" t="s">
        <v>306</v>
      </c>
      <c r="L39">
        <v>626</v>
      </c>
      <c r="M39" s="1" t="s">
        <v>307</v>
      </c>
      <c r="N39">
        <v>1</v>
      </c>
      <c r="O39">
        <v>9.5000000000000001E-2</v>
      </c>
      <c r="P39" s="1" t="s">
        <v>306</v>
      </c>
      <c r="Q39">
        <v>626</v>
      </c>
      <c r="R39" s="1" t="s">
        <v>308</v>
      </c>
      <c r="S39">
        <v>1</v>
      </c>
      <c r="T39">
        <v>9.2999999999999999E-2</v>
      </c>
      <c r="U39" s="1" t="s">
        <v>306</v>
      </c>
      <c r="V39">
        <v>626</v>
      </c>
      <c r="W39" s="1" t="s">
        <v>309</v>
      </c>
      <c r="X39">
        <v>1</v>
      </c>
      <c r="Y39">
        <v>2.1000000000000001E-2</v>
      </c>
      <c r="Z39" s="1" t="s">
        <v>306</v>
      </c>
      <c r="AA39">
        <v>626</v>
      </c>
      <c r="AB39" s="1" t="s">
        <v>310</v>
      </c>
      <c r="AC39">
        <v>1</v>
      </c>
      <c r="AD39">
        <v>10.05523</v>
      </c>
      <c r="AE39" s="1" t="s">
        <v>311</v>
      </c>
      <c r="AF39">
        <v>626</v>
      </c>
      <c r="AG39" s="1" t="s">
        <v>312</v>
      </c>
      <c r="AH39">
        <v>1</v>
      </c>
      <c r="AI39">
        <v>7.0000000000000007E-2</v>
      </c>
      <c r="AJ39" s="1" t="s">
        <v>306</v>
      </c>
      <c r="AK39">
        <v>626</v>
      </c>
      <c r="AL39" s="1" t="s">
        <v>313</v>
      </c>
      <c r="AM39">
        <v>1</v>
      </c>
      <c r="AN39">
        <v>0</v>
      </c>
      <c r="AO39" s="1" t="s">
        <v>306</v>
      </c>
      <c r="AP39">
        <v>626</v>
      </c>
      <c r="AQ39" s="1" t="s">
        <v>314</v>
      </c>
      <c r="AR39">
        <v>1</v>
      </c>
      <c r="AS39">
        <v>0.59</v>
      </c>
      <c r="AT39" s="1" t="s">
        <v>306</v>
      </c>
      <c r="AU39">
        <v>626</v>
      </c>
      <c r="AV39" s="1" t="s">
        <v>315</v>
      </c>
      <c r="AW39">
        <v>1</v>
      </c>
      <c r="AX39" t="b">
        <v>0</v>
      </c>
      <c r="AY39" s="1" t="s">
        <v>316</v>
      </c>
      <c r="AZ39">
        <v>626</v>
      </c>
      <c r="BA39" s="1" t="s">
        <v>317</v>
      </c>
    </row>
    <row r="40" spans="1:53" x14ac:dyDescent="0.25">
      <c r="A40">
        <v>129</v>
      </c>
      <c r="B40" s="1" t="s">
        <v>181</v>
      </c>
      <c r="C40">
        <v>422</v>
      </c>
      <c r="D40">
        <v>1</v>
      </c>
      <c r="E40" t="b">
        <v>1</v>
      </c>
      <c r="F40" s="1" t="s">
        <v>304</v>
      </c>
      <c r="G40" s="1" t="s">
        <v>305</v>
      </c>
      <c r="H40">
        <v>422</v>
      </c>
      <c r="I40">
        <v>1</v>
      </c>
      <c r="J40">
        <v>0.20499999999999999</v>
      </c>
      <c r="K40" s="1" t="s">
        <v>306</v>
      </c>
      <c r="L40">
        <v>422</v>
      </c>
      <c r="M40" s="1" t="s">
        <v>307</v>
      </c>
      <c r="N40">
        <v>1</v>
      </c>
      <c r="O40">
        <v>0.14000000000000001</v>
      </c>
      <c r="P40" s="1" t="s">
        <v>306</v>
      </c>
      <c r="Q40">
        <v>422</v>
      </c>
      <c r="R40" s="1" t="s">
        <v>308</v>
      </c>
      <c r="S40">
        <v>1</v>
      </c>
      <c r="T40">
        <v>0.22</v>
      </c>
      <c r="U40" s="1" t="s">
        <v>306</v>
      </c>
      <c r="V40">
        <v>422</v>
      </c>
      <c r="W40" s="1" t="s">
        <v>309</v>
      </c>
      <c r="X40">
        <v>1</v>
      </c>
      <c r="Y40">
        <v>4.1000000000000002E-2</v>
      </c>
      <c r="Z40" s="1" t="s">
        <v>306</v>
      </c>
      <c r="AA40">
        <v>422</v>
      </c>
      <c r="AB40" s="1" t="s">
        <v>310</v>
      </c>
      <c r="AC40">
        <v>1</v>
      </c>
      <c r="AD40">
        <v>14.087210000000001</v>
      </c>
      <c r="AE40" s="1" t="s">
        <v>311</v>
      </c>
      <c r="AF40">
        <v>422</v>
      </c>
      <c r="AG40" s="1" t="s">
        <v>312</v>
      </c>
      <c r="AH40">
        <v>1</v>
      </c>
      <c r="AI40">
        <v>9.4E-2</v>
      </c>
      <c r="AJ40" s="1" t="s">
        <v>306</v>
      </c>
      <c r="AK40">
        <v>422</v>
      </c>
      <c r="AL40" s="1" t="s">
        <v>313</v>
      </c>
      <c r="AM40">
        <v>1</v>
      </c>
      <c r="AN40">
        <v>0</v>
      </c>
      <c r="AO40" s="1" t="s">
        <v>306</v>
      </c>
      <c r="AP40">
        <v>422</v>
      </c>
      <c r="AQ40" s="1" t="s">
        <v>314</v>
      </c>
      <c r="AR40">
        <v>1</v>
      </c>
      <c r="AS40">
        <v>0.79</v>
      </c>
      <c r="AT40" s="1" t="s">
        <v>306</v>
      </c>
      <c r="AU40">
        <v>422</v>
      </c>
      <c r="AV40" s="1" t="s">
        <v>315</v>
      </c>
      <c r="AW40">
        <v>1</v>
      </c>
      <c r="AX40" t="b">
        <v>0</v>
      </c>
      <c r="AY40" s="1" t="s">
        <v>316</v>
      </c>
      <c r="AZ40">
        <v>422</v>
      </c>
      <c r="BA40" s="1" t="s">
        <v>317</v>
      </c>
    </row>
    <row r="41" spans="1:53" x14ac:dyDescent="0.25">
      <c r="A41">
        <v>132</v>
      </c>
      <c r="B41" s="1" t="s">
        <v>184</v>
      </c>
      <c r="C41">
        <v>425</v>
      </c>
      <c r="D41">
        <v>1</v>
      </c>
      <c r="E41" t="b">
        <v>1</v>
      </c>
      <c r="F41" s="1" t="s">
        <v>304</v>
      </c>
      <c r="G41" s="1" t="s">
        <v>305</v>
      </c>
      <c r="H41">
        <v>425</v>
      </c>
      <c r="I41">
        <v>1</v>
      </c>
      <c r="J41">
        <v>0.19500000000000001</v>
      </c>
      <c r="K41" s="1" t="s">
        <v>306</v>
      </c>
      <c r="L41">
        <v>425</v>
      </c>
      <c r="M41" s="1" t="s">
        <v>307</v>
      </c>
      <c r="N41">
        <v>1</v>
      </c>
      <c r="O41">
        <v>0.13500000000000001</v>
      </c>
      <c r="P41" s="1" t="s">
        <v>306</v>
      </c>
      <c r="Q41">
        <v>425</v>
      </c>
      <c r="R41" s="1" t="s">
        <v>308</v>
      </c>
      <c r="S41">
        <v>1</v>
      </c>
      <c r="T41">
        <v>0.23</v>
      </c>
      <c r="U41" s="1" t="s">
        <v>306</v>
      </c>
      <c r="V41">
        <v>425</v>
      </c>
      <c r="W41" s="1" t="s">
        <v>309</v>
      </c>
      <c r="X41">
        <v>1</v>
      </c>
      <c r="Y41">
        <v>4.1000000000000002E-2</v>
      </c>
      <c r="Z41" s="1" t="s">
        <v>306</v>
      </c>
      <c r="AA41">
        <v>425</v>
      </c>
      <c r="AB41" s="1" t="s">
        <v>310</v>
      </c>
      <c r="AC41">
        <v>1</v>
      </c>
      <c r="AD41">
        <v>14.1244</v>
      </c>
      <c r="AE41" s="1" t="s">
        <v>311</v>
      </c>
      <c r="AF41">
        <v>425</v>
      </c>
      <c r="AG41" s="1" t="s">
        <v>312</v>
      </c>
      <c r="AH41">
        <v>1</v>
      </c>
      <c r="AI41">
        <v>9.6000000000000002E-2</v>
      </c>
      <c r="AJ41" s="1" t="s">
        <v>306</v>
      </c>
      <c r="AK41">
        <v>425</v>
      </c>
      <c r="AL41" s="1" t="s">
        <v>313</v>
      </c>
      <c r="AM41">
        <v>1</v>
      </c>
      <c r="AN41">
        <v>0</v>
      </c>
      <c r="AO41" s="1" t="s">
        <v>306</v>
      </c>
      <c r="AP41">
        <v>425</v>
      </c>
      <c r="AQ41" s="1" t="s">
        <v>314</v>
      </c>
      <c r="AR41">
        <v>1</v>
      </c>
      <c r="AS41">
        <v>0.79</v>
      </c>
      <c r="AT41" s="1" t="s">
        <v>306</v>
      </c>
      <c r="AU41">
        <v>425</v>
      </c>
      <c r="AV41" s="1" t="s">
        <v>315</v>
      </c>
      <c r="AW41">
        <v>1</v>
      </c>
      <c r="AX41" t="b">
        <v>0</v>
      </c>
      <c r="AY41" s="1" t="s">
        <v>316</v>
      </c>
      <c r="AZ41">
        <v>425</v>
      </c>
      <c r="BA41" s="1" t="s">
        <v>317</v>
      </c>
    </row>
    <row r="42" spans="1:53" x14ac:dyDescent="0.25">
      <c r="A42">
        <v>135</v>
      </c>
      <c r="B42" s="1" t="s">
        <v>187</v>
      </c>
      <c r="C42">
        <v>428</v>
      </c>
      <c r="D42">
        <v>1</v>
      </c>
      <c r="E42" t="b">
        <v>1</v>
      </c>
      <c r="F42" s="1" t="s">
        <v>304</v>
      </c>
      <c r="G42" s="1" t="s">
        <v>305</v>
      </c>
      <c r="H42">
        <v>428</v>
      </c>
      <c r="I42">
        <v>1</v>
      </c>
      <c r="J42">
        <v>0.185</v>
      </c>
      <c r="K42" s="1" t="s">
        <v>306</v>
      </c>
      <c r="L42">
        <v>428</v>
      </c>
      <c r="M42" s="1" t="s">
        <v>307</v>
      </c>
      <c r="N42">
        <v>1</v>
      </c>
      <c r="O42">
        <v>0.13</v>
      </c>
      <c r="P42" s="1" t="s">
        <v>306</v>
      </c>
      <c r="Q42">
        <v>428</v>
      </c>
      <c r="R42" s="1" t="s">
        <v>308</v>
      </c>
      <c r="S42">
        <v>1</v>
      </c>
      <c r="T42">
        <v>0.24</v>
      </c>
      <c r="U42" s="1" t="s">
        <v>306</v>
      </c>
      <c r="V42">
        <v>428</v>
      </c>
      <c r="W42" s="1" t="s">
        <v>309</v>
      </c>
      <c r="X42">
        <v>1</v>
      </c>
      <c r="Y42">
        <v>4.1000000000000002E-2</v>
      </c>
      <c r="Z42" s="1" t="s">
        <v>306</v>
      </c>
      <c r="AA42">
        <v>428</v>
      </c>
      <c r="AB42" s="1" t="s">
        <v>310</v>
      </c>
      <c r="AC42">
        <v>1</v>
      </c>
      <c r="AD42">
        <v>14.161580000000001</v>
      </c>
      <c r="AE42" s="1" t="s">
        <v>311</v>
      </c>
      <c r="AF42">
        <v>428</v>
      </c>
      <c r="AG42" s="1" t="s">
        <v>312</v>
      </c>
      <c r="AH42">
        <v>1</v>
      </c>
      <c r="AI42">
        <v>9.8000000000000004E-2</v>
      </c>
      <c r="AJ42" s="1" t="s">
        <v>306</v>
      </c>
      <c r="AK42">
        <v>428</v>
      </c>
      <c r="AL42" s="1" t="s">
        <v>313</v>
      </c>
      <c r="AM42">
        <v>1</v>
      </c>
      <c r="AN42">
        <v>0</v>
      </c>
      <c r="AO42" s="1" t="s">
        <v>306</v>
      </c>
      <c r="AP42">
        <v>428</v>
      </c>
      <c r="AQ42" s="1" t="s">
        <v>314</v>
      </c>
      <c r="AR42">
        <v>1</v>
      </c>
      <c r="AS42">
        <v>0.79</v>
      </c>
      <c r="AT42" s="1" t="s">
        <v>306</v>
      </c>
      <c r="AU42">
        <v>428</v>
      </c>
      <c r="AV42" s="1" t="s">
        <v>315</v>
      </c>
      <c r="AW42">
        <v>1</v>
      </c>
      <c r="AX42" t="b">
        <v>0</v>
      </c>
      <c r="AY42" s="1" t="s">
        <v>316</v>
      </c>
      <c r="AZ42">
        <v>428</v>
      </c>
      <c r="BA42" s="1" t="s">
        <v>317</v>
      </c>
    </row>
    <row r="43" spans="1:53" x14ac:dyDescent="0.25">
      <c r="A43">
        <v>130</v>
      </c>
      <c r="B43" s="1" t="s">
        <v>182</v>
      </c>
      <c r="C43">
        <v>423</v>
      </c>
      <c r="D43">
        <v>1</v>
      </c>
      <c r="E43" t="b">
        <v>1</v>
      </c>
      <c r="F43" s="1" t="s">
        <v>304</v>
      </c>
      <c r="G43" s="1" t="s">
        <v>305</v>
      </c>
      <c r="H43">
        <v>423</v>
      </c>
      <c r="I43">
        <v>1</v>
      </c>
      <c r="J43">
        <v>0.22</v>
      </c>
      <c r="K43" s="1" t="s">
        <v>306</v>
      </c>
      <c r="L43">
        <v>423</v>
      </c>
      <c r="M43" s="1" t="s">
        <v>307</v>
      </c>
      <c r="N43">
        <v>1</v>
      </c>
      <c r="O43">
        <v>0.14000000000000001</v>
      </c>
      <c r="P43" s="1" t="s">
        <v>306</v>
      </c>
      <c r="Q43">
        <v>423</v>
      </c>
      <c r="R43" s="1" t="s">
        <v>308</v>
      </c>
      <c r="S43">
        <v>1</v>
      </c>
      <c r="T43">
        <v>0.2</v>
      </c>
      <c r="U43" s="1" t="s">
        <v>306</v>
      </c>
      <c r="V43">
        <v>423</v>
      </c>
      <c r="W43" s="1" t="s">
        <v>309</v>
      </c>
      <c r="X43">
        <v>1</v>
      </c>
      <c r="Y43">
        <v>3.9E-2</v>
      </c>
      <c r="Z43" s="1" t="s">
        <v>306</v>
      </c>
      <c r="AA43">
        <v>423</v>
      </c>
      <c r="AB43" s="1" t="s">
        <v>310</v>
      </c>
      <c r="AC43">
        <v>1</v>
      </c>
      <c r="AD43">
        <v>13.61242</v>
      </c>
      <c r="AE43" s="1" t="s">
        <v>311</v>
      </c>
      <c r="AF43">
        <v>423</v>
      </c>
      <c r="AG43" s="1" t="s">
        <v>312</v>
      </c>
      <c r="AH43">
        <v>1</v>
      </c>
      <c r="AI43">
        <v>9.4E-2</v>
      </c>
      <c r="AJ43" s="1" t="s">
        <v>306</v>
      </c>
      <c r="AK43">
        <v>423</v>
      </c>
      <c r="AL43" s="1" t="s">
        <v>313</v>
      </c>
      <c r="AM43">
        <v>1</v>
      </c>
      <c r="AN43">
        <v>0</v>
      </c>
      <c r="AO43" s="1" t="s">
        <v>306</v>
      </c>
      <c r="AP43">
        <v>423</v>
      </c>
      <c r="AQ43" s="1" t="s">
        <v>314</v>
      </c>
      <c r="AR43">
        <v>1</v>
      </c>
      <c r="AS43">
        <v>0.77</v>
      </c>
      <c r="AT43" s="1" t="s">
        <v>306</v>
      </c>
      <c r="AU43">
        <v>423</v>
      </c>
      <c r="AV43" s="1" t="s">
        <v>315</v>
      </c>
      <c r="AW43">
        <v>1</v>
      </c>
      <c r="AX43" t="b">
        <v>0</v>
      </c>
      <c r="AY43" s="1" t="s">
        <v>316</v>
      </c>
      <c r="AZ43">
        <v>423</v>
      </c>
      <c r="BA43" s="1" t="s">
        <v>317</v>
      </c>
    </row>
    <row r="44" spans="1:53" x14ac:dyDescent="0.25">
      <c r="A44">
        <v>133</v>
      </c>
      <c r="B44" s="1" t="s">
        <v>185</v>
      </c>
      <c r="C44">
        <v>426</v>
      </c>
      <c r="D44">
        <v>1</v>
      </c>
      <c r="E44" t="b">
        <v>1</v>
      </c>
      <c r="F44" s="1" t="s">
        <v>304</v>
      </c>
      <c r="G44" s="1" t="s">
        <v>305</v>
      </c>
      <c r="H44">
        <v>426</v>
      </c>
      <c r="I44">
        <v>1</v>
      </c>
      <c r="J44">
        <v>0.21</v>
      </c>
      <c r="K44" s="1" t="s">
        <v>306</v>
      </c>
      <c r="L44">
        <v>426</v>
      </c>
      <c r="M44" s="1" t="s">
        <v>307</v>
      </c>
      <c r="N44">
        <v>1</v>
      </c>
      <c r="O44">
        <v>0.13500000000000001</v>
      </c>
      <c r="P44" s="1" t="s">
        <v>306</v>
      </c>
      <c r="Q44">
        <v>426</v>
      </c>
      <c r="R44" s="1" t="s">
        <v>308</v>
      </c>
      <c r="S44">
        <v>1</v>
      </c>
      <c r="T44">
        <v>0.21</v>
      </c>
      <c r="U44" s="1" t="s">
        <v>306</v>
      </c>
      <c r="V44">
        <v>426</v>
      </c>
      <c r="W44" s="1" t="s">
        <v>309</v>
      </c>
      <c r="X44">
        <v>1</v>
      </c>
      <c r="Y44">
        <v>3.9E-2</v>
      </c>
      <c r="Z44" s="1" t="s">
        <v>306</v>
      </c>
      <c r="AA44">
        <v>426</v>
      </c>
      <c r="AB44" s="1" t="s">
        <v>310</v>
      </c>
      <c r="AC44">
        <v>1</v>
      </c>
      <c r="AD44">
        <v>13.6503</v>
      </c>
      <c r="AE44" s="1" t="s">
        <v>311</v>
      </c>
      <c r="AF44">
        <v>426</v>
      </c>
      <c r="AG44" s="1" t="s">
        <v>312</v>
      </c>
      <c r="AH44">
        <v>1</v>
      </c>
      <c r="AI44">
        <v>9.6000000000000002E-2</v>
      </c>
      <c r="AJ44" s="1" t="s">
        <v>306</v>
      </c>
      <c r="AK44">
        <v>426</v>
      </c>
      <c r="AL44" s="1" t="s">
        <v>313</v>
      </c>
      <c r="AM44">
        <v>1</v>
      </c>
      <c r="AN44">
        <v>0</v>
      </c>
      <c r="AO44" s="1" t="s">
        <v>306</v>
      </c>
      <c r="AP44">
        <v>426</v>
      </c>
      <c r="AQ44" s="1" t="s">
        <v>314</v>
      </c>
      <c r="AR44">
        <v>1</v>
      </c>
      <c r="AS44">
        <v>0.77</v>
      </c>
      <c r="AT44" s="1" t="s">
        <v>306</v>
      </c>
      <c r="AU44">
        <v>426</v>
      </c>
      <c r="AV44" s="1" t="s">
        <v>315</v>
      </c>
      <c r="AW44">
        <v>1</v>
      </c>
      <c r="AX44" t="b">
        <v>0</v>
      </c>
      <c r="AY44" s="1" t="s">
        <v>316</v>
      </c>
      <c r="AZ44">
        <v>426</v>
      </c>
      <c r="BA44" s="1" t="s">
        <v>317</v>
      </c>
    </row>
    <row r="45" spans="1:53" x14ac:dyDescent="0.25">
      <c r="A45">
        <v>136</v>
      </c>
      <c r="B45" s="1" t="s">
        <v>188</v>
      </c>
      <c r="C45">
        <v>429</v>
      </c>
      <c r="D45">
        <v>1</v>
      </c>
      <c r="E45" t="b">
        <v>1</v>
      </c>
      <c r="F45" s="1" t="s">
        <v>304</v>
      </c>
      <c r="G45" s="1" t="s">
        <v>305</v>
      </c>
      <c r="H45">
        <v>429</v>
      </c>
      <c r="I45">
        <v>1</v>
      </c>
      <c r="J45">
        <v>0.2</v>
      </c>
      <c r="K45" s="1" t="s">
        <v>306</v>
      </c>
      <c r="L45">
        <v>429</v>
      </c>
      <c r="M45" s="1" t="s">
        <v>307</v>
      </c>
      <c r="N45">
        <v>1</v>
      </c>
      <c r="O45">
        <v>0.13</v>
      </c>
      <c r="P45" s="1" t="s">
        <v>306</v>
      </c>
      <c r="Q45">
        <v>429</v>
      </c>
      <c r="R45" s="1" t="s">
        <v>308</v>
      </c>
      <c r="S45">
        <v>1</v>
      </c>
      <c r="T45">
        <v>0.22</v>
      </c>
      <c r="U45" s="1" t="s">
        <v>306</v>
      </c>
      <c r="V45">
        <v>429</v>
      </c>
      <c r="W45" s="1" t="s">
        <v>309</v>
      </c>
      <c r="X45">
        <v>1</v>
      </c>
      <c r="Y45">
        <v>3.9E-2</v>
      </c>
      <c r="Z45" s="1" t="s">
        <v>306</v>
      </c>
      <c r="AA45">
        <v>429</v>
      </c>
      <c r="AB45" s="1" t="s">
        <v>310</v>
      </c>
      <c r="AC45">
        <v>1</v>
      </c>
      <c r="AD45">
        <v>13.68817</v>
      </c>
      <c r="AE45" s="1" t="s">
        <v>311</v>
      </c>
      <c r="AF45">
        <v>429</v>
      </c>
      <c r="AG45" s="1" t="s">
        <v>312</v>
      </c>
      <c r="AH45">
        <v>1</v>
      </c>
      <c r="AI45">
        <v>9.8000000000000004E-2</v>
      </c>
      <c r="AJ45" s="1" t="s">
        <v>306</v>
      </c>
      <c r="AK45">
        <v>429</v>
      </c>
      <c r="AL45" s="1" t="s">
        <v>313</v>
      </c>
      <c r="AM45">
        <v>1</v>
      </c>
      <c r="AN45">
        <v>0</v>
      </c>
      <c r="AO45" s="1" t="s">
        <v>306</v>
      </c>
      <c r="AP45">
        <v>429</v>
      </c>
      <c r="AQ45" s="1" t="s">
        <v>314</v>
      </c>
      <c r="AR45">
        <v>1</v>
      </c>
      <c r="AS45">
        <v>0.77</v>
      </c>
      <c r="AT45" s="1" t="s">
        <v>306</v>
      </c>
      <c r="AU45">
        <v>429</v>
      </c>
      <c r="AV45" s="1" t="s">
        <v>315</v>
      </c>
      <c r="AW45">
        <v>1</v>
      </c>
      <c r="AX45" t="b">
        <v>0</v>
      </c>
      <c r="AY45" s="1" t="s">
        <v>316</v>
      </c>
      <c r="AZ45">
        <v>429</v>
      </c>
      <c r="BA45" s="1" t="s">
        <v>317</v>
      </c>
    </row>
    <row r="46" spans="1:53" x14ac:dyDescent="0.25">
      <c r="A46">
        <v>128</v>
      </c>
      <c r="B46" s="1" t="s">
        <v>180</v>
      </c>
      <c r="C46">
        <v>421</v>
      </c>
      <c r="D46">
        <v>1</v>
      </c>
      <c r="E46" t="b">
        <v>1</v>
      </c>
      <c r="F46" s="1" t="s">
        <v>304</v>
      </c>
      <c r="G46" s="1" t="s">
        <v>305</v>
      </c>
      <c r="H46">
        <v>421</v>
      </c>
      <c r="I46">
        <v>1</v>
      </c>
      <c r="J46">
        <v>0.19500000000000001</v>
      </c>
      <c r="K46" s="1" t="s">
        <v>306</v>
      </c>
      <c r="L46">
        <v>421</v>
      </c>
      <c r="M46" s="1" t="s">
        <v>307</v>
      </c>
      <c r="N46">
        <v>1</v>
      </c>
      <c r="O46">
        <v>0.13</v>
      </c>
      <c r="P46" s="1" t="s">
        <v>306</v>
      </c>
      <c r="Q46">
        <v>421</v>
      </c>
      <c r="R46" s="1" t="s">
        <v>308</v>
      </c>
      <c r="S46">
        <v>1</v>
      </c>
      <c r="T46">
        <v>0.23</v>
      </c>
      <c r="U46" s="1" t="s">
        <v>306</v>
      </c>
      <c r="V46">
        <v>421</v>
      </c>
      <c r="W46" s="1" t="s">
        <v>309</v>
      </c>
      <c r="X46">
        <v>1</v>
      </c>
      <c r="Y46">
        <v>4.2999999999999997E-2</v>
      </c>
      <c r="Z46" s="1" t="s">
        <v>306</v>
      </c>
      <c r="AA46">
        <v>421</v>
      </c>
      <c r="AB46" s="1" t="s">
        <v>310</v>
      </c>
      <c r="AC46">
        <v>1</v>
      </c>
      <c r="AD46">
        <v>14.18402</v>
      </c>
      <c r="AE46" s="1" t="s">
        <v>311</v>
      </c>
      <c r="AF46">
        <v>421</v>
      </c>
      <c r="AG46" s="1" t="s">
        <v>312</v>
      </c>
      <c r="AH46">
        <v>1</v>
      </c>
      <c r="AI46">
        <v>9.4E-2</v>
      </c>
      <c r="AJ46" s="1" t="s">
        <v>306</v>
      </c>
      <c r="AK46">
        <v>421</v>
      </c>
      <c r="AL46" s="1" t="s">
        <v>313</v>
      </c>
      <c r="AM46">
        <v>1</v>
      </c>
      <c r="AN46">
        <v>0</v>
      </c>
      <c r="AO46" s="1" t="s">
        <v>306</v>
      </c>
      <c r="AP46">
        <v>421</v>
      </c>
      <c r="AQ46" s="1" t="s">
        <v>314</v>
      </c>
      <c r="AR46">
        <v>1</v>
      </c>
      <c r="AS46">
        <v>0.79</v>
      </c>
      <c r="AT46" s="1" t="s">
        <v>306</v>
      </c>
      <c r="AU46">
        <v>421</v>
      </c>
      <c r="AV46" s="1" t="s">
        <v>315</v>
      </c>
      <c r="AW46">
        <v>1</v>
      </c>
      <c r="AX46" t="b">
        <v>0</v>
      </c>
      <c r="AY46" s="1" t="s">
        <v>316</v>
      </c>
      <c r="AZ46">
        <v>421</v>
      </c>
      <c r="BA46" s="1" t="s">
        <v>317</v>
      </c>
    </row>
    <row r="47" spans="1:53" x14ac:dyDescent="0.25">
      <c r="A47">
        <v>131</v>
      </c>
      <c r="B47" s="1" t="s">
        <v>183</v>
      </c>
      <c r="C47">
        <v>424</v>
      </c>
      <c r="D47">
        <v>1</v>
      </c>
      <c r="E47" t="b">
        <v>1</v>
      </c>
      <c r="F47" s="1" t="s">
        <v>304</v>
      </c>
      <c r="G47" s="1" t="s">
        <v>305</v>
      </c>
      <c r="H47">
        <v>424</v>
      </c>
      <c r="I47">
        <v>1</v>
      </c>
      <c r="J47">
        <v>0.185</v>
      </c>
      <c r="K47" s="1" t="s">
        <v>306</v>
      </c>
      <c r="L47">
        <v>424</v>
      </c>
      <c r="M47" s="1" t="s">
        <v>307</v>
      </c>
      <c r="N47">
        <v>1</v>
      </c>
      <c r="O47">
        <v>0.125</v>
      </c>
      <c r="P47" s="1" t="s">
        <v>306</v>
      </c>
      <c r="Q47">
        <v>424</v>
      </c>
      <c r="R47" s="1" t="s">
        <v>308</v>
      </c>
      <c r="S47">
        <v>1</v>
      </c>
      <c r="T47">
        <v>0.24</v>
      </c>
      <c r="U47" s="1" t="s">
        <v>306</v>
      </c>
      <c r="V47">
        <v>424</v>
      </c>
      <c r="W47" s="1" t="s">
        <v>309</v>
      </c>
      <c r="X47">
        <v>1</v>
      </c>
      <c r="Y47">
        <v>4.2999999999999997E-2</v>
      </c>
      <c r="Z47" s="1" t="s">
        <v>306</v>
      </c>
      <c r="AA47">
        <v>424</v>
      </c>
      <c r="AB47" s="1" t="s">
        <v>310</v>
      </c>
      <c r="AC47">
        <v>1</v>
      </c>
      <c r="AD47">
        <v>14.2212</v>
      </c>
      <c r="AE47" s="1" t="s">
        <v>311</v>
      </c>
      <c r="AF47">
        <v>424</v>
      </c>
      <c r="AG47" s="1" t="s">
        <v>312</v>
      </c>
      <c r="AH47">
        <v>1</v>
      </c>
      <c r="AI47">
        <v>9.6000000000000002E-2</v>
      </c>
      <c r="AJ47" s="1" t="s">
        <v>306</v>
      </c>
      <c r="AK47">
        <v>424</v>
      </c>
      <c r="AL47" s="1" t="s">
        <v>313</v>
      </c>
      <c r="AM47">
        <v>1</v>
      </c>
      <c r="AN47">
        <v>0</v>
      </c>
      <c r="AO47" s="1" t="s">
        <v>306</v>
      </c>
      <c r="AP47">
        <v>424</v>
      </c>
      <c r="AQ47" s="1" t="s">
        <v>314</v>
      </c>
      <c r="AR47">
        <v>1</v>
      </c>
      <c r="AS47">
        <v>0.79</v>
      </c>
      <c r="AT47" s="1" t="s">
        <v>306</v>
      </c>
      <c r="AU47">
        <v>424</v>
      </c>
      <c r="AV47" s="1" t="s">
        <v>315</v>
      </c>
      <c r="AW47">
        <v>1</v>
      </c>
      <c r="AX47" t="b">
        <v>0</v>
      </c>
      <c r="AY47" s="1" t="s">
        <v>316</v>
      </c>
      <c r="AZ47">
        <v>424</v>
      </c>
      <c r="BA47" s="1" t="s">
        <v>317</v>
      </c>
    </row>
    <row r="48" spans="1:53" x14ac:dyDescent="0.25">
      <c r="A48">
        <v>134</v>
      </c>
      <c r="B48" s="1" t="s">
        <v>186</v>
      </c>
      <c r="C48">
        <v>427</v>
      </c>
      <c r="D48">
        <v>1</v>
      </c>
      <c r="E48" t="b">
        <v>1</v>
      </c>
      <c r="F48" s="1" t="s">
        <v>304</v>
      </c>
      <c r="G48" s="1" t="s">
        <v>305</v>
      </c>
      <c r="H48">
        <v>427</v>
      </c>
      <c r="I48">
        <v>1</v>
      </c>
      <c r="J48">
        <v>0.17499999999999999</v>
      </c>
      <c r="K48" s="1" t="s">
        <v>306</v>
      </c>
      <c r="L48">
        <v>427</v>
      </c>
      <c r="M48" s="1" t="s">
        <v>307</v>
      </c>
      <c r="N48">
        <v>1</v>
      </c>
      <c r="O48">
        <v>0.12</v>
      </c>
      <c r="P48" s="1" t="s">
        <v>306</v>
      </c>
      <c r="Q48">
        <v>427</v>
      </c>
      <c r="R48" s="1" t="s">
        <v>308</v>
      </c>
      <c r="S48">
        <v>1</v>
      </c>
      <c r="T48">
        <v>0.25</v>
      </c>
      <c r="U48" s="1" t="s">
        <v>306</v>
      </c>
      <c r="V48">
        <v>427</v>
      </c>
      <c r="W48" s="1" t="s">
        <v>309</v>
      </c>
      <c r="X48">
        <v>1</v>
      </c>
      <c r="Y48">
        <v>4.2999999999999997E-2</v>
      </c>
      <c r="Z48" s="1" t="s">
        <v>306</v>
      </c>
      <c r="AA48">
        <v>427</v>
      </c>
      <c r="AB48" s="1" t="s">
        <v>310</v>
      </c>
      <c r="AC48">
        <v>1</v>
      </c>
      <c r="AD48">
        <v>14.258380000000001</v>
      </c>
      <c r="AE48" s="1" t="s">
        <v>311</v>
      </c>
      <c r="AF48">
        <v>427</v>
      </c>
      <c r="AG48" s="1" t="s">
        <v>312</v>
      </c>
      <c r="AH48">
        <v>1</v>
      </c>
      <c r="AI48">
        <v>9.8000000000000004E-2</v>
      </c>
      <c r="AJ48" s="1" t="s">
        <v>306</v>
      </c>
      <c r="AK48">
        <v>427</v>
      </c>
      <c r="AL48" s="1" t="s">
        <v>313</v>
      </c>
      <c r="AM48">
        <v>1</v>
      </c>
      <c r="AN48">
        <v>0</v>
      </c>
      <c r="AO48" s="1" t="s">
        <v>306</v>
      </c>
      <c r="AP48">
        <v>427</v>
      </c>
      <c r="AQ48" s="1" t="s">
        <v>314</v>
      </c>
      <c r="AR48">
        <v>1</v>
      </c>
      <c r="AS48">
        <v>0.79</v>
      </c>
      <c r="AT48" s="1" t="s">
        <v>306</v>
      </c>
      <c r="AU48">
        <v>427</v>
      </c>
      <c r="AV48" s="1" t="s">
        <v>315</v>
      </c>
      <c r="AW48">
        <v>1</v>
      </c>
      <c r="AX48" t="b">
        <v>0</v>
      </c>
      <c r="AY48" s="1" t="s">
        <v>316</v>
      </c>
      <c r="AZ48">
        <v>427</v>
      </c>
      <c r="BA48" s="1" t="s">
        <v>317</v>
      </c>
    </row>
    <row r="49" spans="1:53" x14ac:dyDescent="0.25">
      <c r="A49">
        <v>161</v>
      </c>
      <c r="B49" s="1" t="s">
        <v>213</v>
      </c>
      <c r="C49">
        <v>521</v>
      </c>
      <c r="D49">
        <v>1</v>
      </c>
      <c r="E49" t="b">
        <v>1</v>
      </c>
      <c r="F49" s="1" t="s">
        <v>304</v>
      </c>
      <c r="G49" s="1" t="s">
        <v>305</v>
      </c>
      <c r="H49">
        <v>521</v>
      </c>
      <c r="I49">
        <v>1</v>
      </c>
      <c r="J49">
        <v>0.247</v>
      </c>
      <c r="K49" s="1" t="s">
        <v>306</v>
      </c>
      <c r="L49">
        <v>521</v>
      </c>
      <c r="M49" s="1" t="s">
        <v>307</v>
      </c>
      <c r="N49">
        <v>1</v>
      </c>
      <c r="O49">
        <v>5.5E-2</v>
      </c>
      <c r="P49" s="1" t="s">
        <v>306</v>
      </c>
      <c r="Q49">
        <v>521</v>
      </c>
      <c r="R49" s="1" t="s">
        <v>308</v>
      </c>
      <c r="S49">
        <v>1</v>
      </c>
      <c r="T49">
        <v>0.16800000000000001</v>
      </c>
      <c r="U49" s="1" t="s">
        <v>306</v>
      </c>
      <c r="V49">
        <v>521</v>
      </c>
      <c r="W49" s="1" t="s">
        <v>309</v>
      </c>
      <c r="X49">
        <v>1</v>
      </c>
      <c r="Y49">
        <v>4.5999999999999999E-2</v>
      </c>
      <c r="Z49" s="1" t="s">
        <v>306</v>
      </c>
      <c r="AA49">
        <v>521</v>
      </c>
      <c r="AB49" s="1" t="s">
        <v>310</v>
      </c>
      <c r="AC49">
        <v>1</v>
      </c>
      <c r="AD49">
        <v>13.699769999999999</v>
      </c>
      <c r="AE49" s="1" t="s">
        <v>311</v>
      </c>
      <c r="AF49">
        <v>521</v>
      </c>
      <c r="AG49" s="1" t="s">
        <v>312</v>
      </c>
      <c r="AH49">
        <v>1</v>
      </c>
      <c r="AI49">
        <v>9.8000000000000004E-2</v>
      </c>
      <c r="AJ49" s="1" t="s">
        <v>306</v>
      </c>
      <c r="AK49">
        <v>521</v>
      </c>
      <c r="AL49" s="1" t="s">
        <v>313</v>
      </c>
      <c r="AM49">
        <v>1</v>
      </c>
      <c r="AN49">
        <v>0</v>
      </c>
      <c r="AO49" s="1" t="s">
        <v>306</v>
      </c>
      <c r="AP49">
        <v>521</v>
      </c>
      <c r="AQ49" s="1" t="s">
        <v>314</v>
      </c>
      <c r="AR49">
        <v>1</v>
      </c>
      <c r="AS49">
        <v>0.78500000000000003</v>
      </c>
      <c r="AT49" s="1" t="s">
        <v>306</v>
      </c>
      <c r="AU49">
        <v>521</v>
      </c>
      <c r="AV49" s="1" t="s">
        <v>315</v>
      </c>
      <c r="AW49">
        <v>1</v>
      </c>
      <c r="AX49" t="b">
        <v>0</v>
      </c>
      <c r="AY49" s="1" t="s">
        <v>316</v>
      </c>
      <c r="AZ49">
        <v>521</v>
      </c>
      <c r="BA49" s="1" t="s">
        <v>317</v>
      </c>
    </row>
    <row r="50" spans="1:53" x14ac:dyDescent="0.25">
      <c r="A50">
        <v>164</v>
      </c>
      <c r="B50" s="1" t="s">
        <v>216</v>
      </c>
      <c r="C50">
        <v>524</v>
      </c>
      <c r="D50">
        <v>1</v>
      </c>
      <c r="E50" t="b">
        <v>1</v>
      </c>
      <c r="F50" s="1" t="s">
        <v>304</v>
      </c>
      <c r="G50" s="1" t="s">
        <v>305</v>
      </c>
      <c r="H50">
        <v>524</v>
      </c>
      <c r="I50">
        <v>1</v>
      </c>
      <c r="J50">
        <v>0.24199999999999999</v>
      </c>
      <c r="K50" s="1" t="s">
        <v>306</v>
      </c>
      <c r="L50">
        <v>524</v>
      </c>
      <c r="M50" s="1" t="s">
        <v>307</v>
      </c>
      <c r="N50">
        <v>1</v>
      </c>
      <c r="O50">
        <v>6.0999999999999999E-2</v>
      </c>
      <c r="P50" s="1" t="s">
        <v>306</v>
      </c>
      <c r="Q50">
        <v>524</v>
      </c>
      <c r="R50" s="1" t="s">
        <v>308</v>
      </c>
      <c r="S50">
        <v>1</v>
      </c>
      <c r="T50">
        <v>0.17199999999999999</v>
      </c>
      <c r="U50" s="1" t="s">
        <v>306</v>
      </c>
      <c r="V50">
        <v>524</v>
      </c>
      <c r="W50" s="1" t="s">
        <v>309</v>
      </c>
      <c r="X50">
        <v>1</v>
      </c>
      <c r="Y50">
        <v>4.5999999999999999E-2</v>
      </c>
      <c r="Z50" s="1" t="s">
        <v>306</v>
      </c>
      <c r="AA50">
        <v>524</v>
      </c>
      <c r="AB50" s="1" t="s">
        <v>310</v>
      </c>
      <c r="AC50">
        <v>1</v>
      </c>
      <c r="AD50">
        <v>13.68483</v>
      </c>
      <c r="AE50" s="1" t="s">
        <v>311</v>
      </c>
      <c r="AF50">
        <v>524</v>
      </c>
      <c r="AG50" s="1" t="s">
        <v>312</v>
      </c>
      <c r="AH50">
        <v>1</v>
      </c>
      <c r="AI50">
        <v>0.10100000000000001</v>
      </c>
      <c r="AJ50" s="1" t="s">
        <v>306</v>
      </c>
      <c r="AK50">
        <v>524</v>
      </c>
      <c r="AL50" s="1" t="s">
        <v>313</v>
      </c>
      <c r="AM50">
        <v>1</v>
      </c>
      <c r="AN50">
        <v>0</v>
      </c>
      <c r="AO50" s="1" t="s">
        <v>306</v>
      </c>
      <c r="AP50">
        <v>524</v>
      </c>
      <c r="AQ50" s="1" t="s">
        <v>314</v>
      </c>
      <c r="AR50">
        <v>1</v>
      </c>
      <c r="AS50">
        <v>0.78500000000000003</v>
      </c>
      <c r="AT50" s="1" t="s">
        <v>306</v>
      </c>
      <c r="AU50">
        <v>524</v>
      </c>
      <c r="AV50" s="1" t="s">
        <v>315</v>
      </c>
      <c r="AW50">
        <v>1</v>
      </c>
      <c r="AX50" t="b">
        <v>0</v>
      </c>
      <c r="AY50" s="1" t="s">
        <v>316</v>
      </c>
      <c r="AZ50">
        <v>524</v>
      </c>
      <c r="BA50" s="1" t="s">
        <v>317</v>
      </c>
    </row>
    <row r="51" spans="1:53" x14ac:dyDescent="0.25">
      <c r="A51">
        <v>167</v>
      </c>
      <c r="B51" s="1" t="s">
        <v>219</v>
      </c>
      <c r="C51">
        <v>527</v>
      </c>
      <c r="D51">
        <v>1</v>
      </c>
      <c r="E51" t="b">
        <v>1</v>
      </c>
      <c r="F51" s="1" t="s">
        <v>304</v>
      </c>
      <c r="G51" s="1" t="s">
        <v>305</v>
      </c>
      <c r="H51">
        <v>527</v>
      </c>
      <c r="I51">
        <v>1</v>
      </c>
      <c r="J51">
        <v>0.23100000000000001</v>
      </c>
      <c r="K51" s="1" t="s">
        <v>306</v>
      </c>
      <c r="L51">
        <v>527</v>
      </c>
      <c r="M51" s="1" t="s">
        <v>307</v>
      </c>
      <c r="N51">
        <v>1</v>
      </c>
      <c r="O51">
        <v>5.6000000000000001E-2</v>
      </c>
      <c r="P51" s="1" t="s">
        <v>306</v>
      </c>
      <c r="Q51">
        <v>527</v>
      </c>
      <c r="R51" s="1" t="s">
        <v>308</v>
      </c>
      <c r="S51">
        <v>1</v>
      </c>
      <c r="T51">
        <v>0.186</v>
      </c>
      <c r="U51" s="1" t="s">
        <v>306</v>
      </c>
      <c r="V51">
        <v>527</v>
      </c>
      <c r="W51" s="1" t="s">
        <v>309</v>
      </c>
      <c r="X51">
        <v>1</v>
      </c>
      <c r="Y51">
        <v>4.5999999999999999E-2</v>
      </c>
      <c r="Z51" s="1" t="s">
        <v>306</v>
      </c>
      <c r="AA51">
        <v>527</v>
      </c>
      <c r="AB51" s="1" t="s">
        <v>310</v>
      </c>
      <c r="AC51">
        <v>1</v>
      </c>
      <c r="AD51">
        <v>13.693669999999999</v>
      </c>
      <c r="AE51" s="1" t="s">
        <v>311</v>
      </c>
      <c r="AF51">
        <v>527</v>
      </c>
      <c r="AG51" s="1" t="s">
        <v>312</v>
      </c>
      <c r="AH51">
        <v>1</v>
      </c>
      <c r="AI51">
        <v>0.107</v>
      </c>
      <c r="AJ51" s="1" t="s">
        <v>306</v>
      </c>
      <c r="AK51">
        <v>527</v>
      </c>
      <c r="AL51" s="1" t="s">
        <v>313</v>
      </c>
      <c r="AM51">
        <v>1</v>
      </c>
      <c r="AN51">
        <v>0</v>
      </c>
      <c r="AO51" s="1" t="s">
        <v>306</v>
      </c>
      <c r="AP51">
        <v>527</v>
      </c>
      <c r="AQ51" s="1" t="s">
        <v>314</v>
      </c>
      <c r="AR51">
        <v>1</v>
      </c>
      <c r="AS51">
        <v>0.78500000000000003</v>
      </c>
      <c r="AT51" s="1" t="s">
        <v>306</v>
      </c>
      <c r="AU51">
        <v>527</v>
      </c>
      <c r="AV51" s="1" t="s">
        <v>315</v>
      </c>
      <c r="AW51">
        <v>1</v>
      </c>
      <c r="AX51" t="b">
        <v>0</v>
      </c>
      <c r="AY51" s="1" t="s">
        <v>316</v>
      </c>
      <c r="AZ51">
        <v>527</v>
      </c>
      <c r="BA51" s="1" t="s">
        <v>317</v>
      </c>
    </row>
    <row r="52" spans="1:53" x14ac:dyDescent="0.25">
      <c r="A52">
        <v>163</v>
      </c>
      <c r="B52" s="1" t="s">
        <v>215</v>
      </c>
      <c r="C52">
        <v>523</v>
      </c>
      <c r="D52">
        <v>1</v>
      </c>
      <c r="E52" t="b">
        <v>1</v>
      </c>
      <c r="F52" s="1" t="s">
        <v>304</v>
      </c>
      <c r="G52" s="1" t="s">
        <v>305</v>
      </c>
      <c r="H52">
        <v>523</v>
      </c>
      <c r="I52">
        <v>1</v>
      </c>
      <c r="J52">
        <v>0.30099999999999999</v>
      </c>
      <c r="K52" s="1" t="s">
        <v>306</v>
      </c>
      <c r="L52">
        <v>523</v>
      </c>
      <c r="M52" s="1" t="s">
        <v>307</v>
      </c>
      <c r="N52">
        <v>1</v>
      </c>
      <c r="O52">
        <v>4.2999999999999997E-2</v>
      </c>
      <c r="P52" s="1" t="s">
        <v>306</v>
      </c>
      <c r="Q52">
        <v>523</v>
      </c>
      <c r="R52" s="1" t="s">
        <v>308</v>
      </c>
      <c r="S52">
        <v>1</v>
      </c>
      <c r="T52">
        <v>0.13800000000000001</v>
      </c>
      <c r="U52" s="1" t="s">
        <v>306</v>
      </c>
      <c r="V52">
        <v>523</v>
      </c>
      <c r="W52" s="1" t="s">
        <v>309</v>
      </c>
      <c r="X52">
        <v>1</v>
      </c>
      <c r="Y52">
        <v>4.2000000000000003E-2</v>
      </c>
      <c r="Z52" s="1" t="s">
        <v>306</v>
      </c>
      <c r="AA52">
        <v>523</v>
      </c>
      <c r="AB52" s="1" t="s">
        <v>310</v>
      </c>
      <c r="AC52">
        <v>1</v>
      </c>
      <c r="AD52">
        <v>11.80317</v>
      </c>
      <c r="AE52" s="1" t="s">
        <v>311</v>
      </c>
      <c r="AF52">
        <v>523</v>
      </c>
      <c r="AG52" s="1" t="s">
        <v>312</v>
      </c>
      <c r="AH52">
        <v>1</v>
      </c>
      <c r="AI52">
        <v>9.8000000000000004E-2</v>
      </c>
      <c r="AJ52" s="1" t="s">
        <v>306</v>
      </c>
      <c r="AK52">
        <v>523</v>
      </c>
      <c r="AL52" s="1" t="s">
        <v>313</v>
      </c>
      <c r="AM52">
        <v>1</v>
      </c>
      <c r="AN52">
        <v>0</v>
      </c>
      <c r="AO52" s="1" t="s">
        <v>306</v>
      </c>
      <c r="AP52">
        <v>523</v>
      </c>
      <c r="AQ52" s="1" t="s">
        <v>314</v>
      </c>
      <c r="AR52">
        <v>1</v>
      </c>
      <c r="AS52">
        <v>0.68</v>
      </c>
      <c r="AT52" s="1" t="s">
        <v>306</v>
      </c>
      <c r="AU52">
        <v>523</v>
      </c>
      <c r="AV52" s="1" t="s">
        <v>315</v>
      </c>
      <c r="AW52">
        <v>1</v>
      </c>
      <c r="AX52" t="b">
        <v>0</v>
      </c>
      <c r="AY52" s="1" t="s">
        <v>316</v>
      </c>
      <c r="AZ52">
        <v>523</v>
      </c>
      <c r="BA52" s="1" t="s">
        <v>317</v>
      </c>
    </row>
    <row r="53" spans="1:53" x14ac:dyDescent="0.25">
      <c r="A53">
        <v>166</v>
      </c>
      <c r="B53" s="1" t="s">
        <v>218</v>
      </c>
      <c r="C53">
        <v>526</v>
      </c>
      <c r="D53">
        <v>1</v>
      </c>
      <c r="E53" t="b">
        <v>1</v>
      </c>
      <c r="F53" s="1" t="s">
        <v>304</v>
      </c>
      <c r="G53" s="1" t="s">
        <v>305</v>
      </c>
      <c r="H53">
        <v>526</v>
      </c>
      <c r="I53">
        <v>1</v>
      </c>
      <c r="J53">
        <v>0.28899999999999998</v>
      </c>
      <c r="K53" s="1" t="s">
        <v>306</v>
      </c>
      <c r="L53">
        <v>526</v>
      </c>
      <c r="M53" s="1" t="s">
        <v>307</v>
      </c>
      <c r="N53">
        <v>1</v>
      </c>
      <c r="O53">
        <v>4.4999999999999998E-2</v>
      </c>
      <c r="P53" s="1" t="s">
        <v>306</v>
      </c>
      <c r="Q53">
        <v>526</v>
      </c>
      <c r="R53" s="1" t="s">
        <v>308</v>
      </c>
      <c r="S53">
        <v>1</v>
      </c>
      <c r="T53">
        <v>0.14799999999999999</v>
      </c>
      <c r="U53" s="1" t="s">
        <v>306</v>
      </c>
      <c r="V53">
        <v>526</v>
      </c>
      <c r="W53" s="1" t="s">
        <v>309</v>
      </c>
      <c r="X53">
        <v>1</v>
      </c>
      <c r="Y53">
        <v>4.2000000000000003E-2</v>
      </c>
      <c r="Z53" s="1" t="s">
        <v>306</v>
      </c>
      <c r="AA53">
        <v>526</v>
      </c>
      <c r="AB53" s="1" t="s">
        <v>310</v>
      </c>
      <c r="AC53">
        <v>1</v>
      </c>
      <c r="AD53">
        <v>11.83239</v>
      </c>
      <c r="AE53" s="1" t="s">
        <v>311</v>
      </c>
      <c r="AF53">
        <v>526</v>
      </c>
      <c r="AG53" s="1" t="s">
        <v>312</v>
      </c>
      <c r="AH53">
        <v>1</v>
      </c>
      <c r="AI53">
        <v>0.10100000000000001</v>
      </c>
      <c r="AJ53" s="1" t="s">
        <v>306</v>
      </c>
      <c r="AK53">
        <v>526</v>
      </c>
      <c r="AL53" s="1" t="s">
        <v>313</v>
      </c>
      <c r="AM53">
        <v>1</v>
      </c>
      <c r="AN53">
        <v>0</v>
      </c>
      <c r="AO53" s="1" t="s">
        <v>306</v>
      </c>
      <c r="AP53">
        <v>526</v>
      </c>
      <c r="AQ53" s="1" t="s">
        <v>314</v>
      </c>
      <c r="AR53">
        <v>1</v>
      </c>
      <c r="AS53">
        <v>0.68</v>
      </c>
      <c r="AT53" s="1" t="s">
        <v>306</v>
      </c>
      <c r="AU53">
        <v>526</v>
      </c>
      <c r="AV53" s="1" t="s">
        <v>315</v>
      </c>
      <c r="AW53">
        <v>1</v>
      </c>
      <c r="AX53" t="b">
        <v>0</v>
      </c>
      <c r="AY53" s="1" t="s">
        <v>316</v>
      </c>
      <c r="AZ53">
        <v>526</v>
      </c>
      <c r="BA53" s="1" t="s">
        <v>317</v>
      </c>
    </row>
    <row r="54" spans="1:53" x14ac:dyDescent="0.25">
      <c r="A54">
        <v>169</v>
      </c>
      <c r="B54" s="1" t="s">
        <v>221</v>
      </c>
      <c r="C54">
        <v>529</v>
      </c>
      <c r="D54">
        <v>1</v>
      </c>
      <c r="E54" t="b">
        <v>1</v>
      </c>
      <c r="F54" s="1" t="s">
        <v>304</v>
      </c>
      <c r="G54" s="1" t="s">
        <v>305</v>
      </c>
      <c r="H54">
        <v>529</v>
      </c>
      <c r="I54">
        <v>1</v>
      </c>
      <c r="J54">
        <v>0.26900000000000002</v>
      </c>
      <c r="K54" s="1" t="s">
        <v>306</v>
      </c>
      <c r="L54">
        <v>529</v>
      </c>
      <c r="M54" s="1" t="s">
        <v>307</v>
      </c>
      <c r="N54">
        <v>1</v>
      </c>
      <c r="O54">
        <v>4.5999999999999999E-2</v>
      </c>
      <c r="P54" s="1" t="s">
        <v>306</v>
      </c>
      <c r="Q54">
        <v>529</v>
      </c>
      <c r="R54" s="1" t="s">
        <v>308</v>
      </c>
      <c r="S54">
        <v>1</v>
      </c>
      <c r="T54">
        <v>0.16900000000000001</v>
      </c>
      <c r="U54" s="1" t="s">
        <v>306</v>
      </c>
      <c r="V54">
        <v>529</v>
      </c>
      <c r="W54" s="1" t="s">
        <v>309</v>
      </c>
      <c r="X54">
        <v>1</v>
      </c>
      <c r="Y54">
        <v>4.2000000000000003E-2</v>
      </c>
      <c r="Z54" s="1" t="s">
        <v>306</v>
      </c>
      <c r="AA54">
        <v>529</v>
      </c>
      <c r="AB54" s="1" t="s">
        <v>310</v>
      </c>
      <c r="AC54">
        <v>1</v>
      </c>
      <c r="AD54">
        <v>11.89729</v>
      </c>
      <c r="AE54" s="1" t="s">
        <v>311</v>
      </c>
      <c r="AF54">
        <v>529</v>
      </c>
      <c r="AG54" s="1" t="s">
        <v>312</v>
      </c>
      <c r="AH54">
        <v>1</v>
      </c>
      <c r="AI54">
        <v>0.107</v>
      </c>
      <c r="AJ54" s="1" t="s">
        <v>306</v>
      </c>
      <c r="AK54">
        <v>529</v>
      </c>
      <c r="AL54" s="1" t="s">
        <v>313</v>
      </c>
      <c r="AM54">
        <v>1</v>
      </c>
      <c r="AN54">
        <v>0</v>
      </c>
      <c r="AO54" s="1" t="s">
        <v>306</v>
      </c>
      <c r="AP54">
        <v>529</v>
      </c>
      <c r="AQ54" s="1" t="s">
        <v>314</v>
      </c>
      <c r="AR54">
        <v>1</v>
      </c>
      <c r="AS54">
        <v>0.68</v>
      </c>
      <c r="AT54" s="1" t="s">
        <v>306</v>
      </c>
      <c r="AU54">
        <v>529</v>
      </c>
      <c r="AV54" s="1" t="s">
        <v>315</v>
      </c>
      <c r="AW54">
        <v>1</v>
      </c>
      <c r="AX54" t="b">
        <v>0</v>
      </c>
      <c r="AY54" s="1" t="s">
        <v>316</v>
      </c>
      <c r="AZ54">
        <v>529</v>
      </c>
      <c r="BA54" s="1" t="s">
        <v>317</v>
      </c>
    </row>
    <row r="55" spans="1:53" x14ac:dyDescent="0.25">
      <c r="A55">
        <v>162</v>
      </c>
      <c r="B55" s="1" t="s">
        <v>214</v>
      </c>
      <c r="C55">
        <v>522</v>
      </c>
      <c r="D55">
        <v>1</v>
      </c>
      <c r="E55" t="b">
        <v>1</v>
      </c>
      <c r="F55" s="1" t="s">
        <v>304</v>
      </c>
      <c r="G55" s="1" t="s">
        <v>305</v>
      </c>
      <c r="H55">
        <v>522</v>
      </c>
      <c r="I55">
        <v>1</v>
      </c>
      <c r="J55">
        <v>0.27300000000000002</v>
      </c>
      <c r="K55" s="1" t="s">
        <v>306</v>
      </c>
      <c r="L55">
        <v>522</v>
      </c>
      <c r="M55" s="1" t="s">
        <v>307</v>
      </c>
      <c r="N55">
        <v>1</v>
      </c>
      <c r="O55">
        <v>4.9000000000000002E-2</v>
      </c>
      <c r="P55" s="1" t="s">
        <v>306</v>
      </c>
      <c r="Q55">
        <v>522</v>
      </c>
      <c r="R55" s="1" t="s">
        <v>308</v>
      </c>
      <c r="S55">
        <v>1</v>
      </c>
      <c r="T55">
        <v>0.156</v>
      </c>
      <c r="U55" s="1" t="s">
        <v>306</v>
      </c>
      <c r="V55">
        <v>522</v>
      </c>
      <c r="W55" s="1" t="s">
        <v>309</v>
      </c>
      <c r="X55">
        <v>1</v>
      </c>
      <c r="Y55">
        <v>4.3999999999999997E-2</v>
      </c>
      <c r="Z55" s="1" t="s">
        <v>306</v>
      </c>
      <c r="AA55">
        <v>522</v>
      </c>
      <c r="AB55" s="1" t="s">
        <v>310</v>
      </c>
      <c r="AC55">
        <v>1</v>
      </c>
      <c r="AD55">
        <v>12.88786</v>
      </c>
      <c r="AE55" s="1" t="s">
        <v>311</v>
      </c>
      <c r="AF55">
        <v>522</v>
      </c>
      <c r="AG55" s="1" t="s">
        <v>312</v>
      </c>
      <c r="AH55">
        <v>1</v>
      </c>
      <c r="AI55">
        <v>9.8000000000000004E-2</v>
      </c>
      <c r="AJ55" s="1" t="s">
        <v>306</v>
      </c>
      <c r="AK55">
        <v>522</v>
      </c>
      <c r="AL55" s="1" t="s">
        <v>313</v>
      </c>
      <c r="AM55">
        <v>1</v>
      </c>
      <c r="AN55">
        <v>0</v>
      </c>
      <c r="AO55" s="1" t="s">
        <v>306</v>
      </c>
      <c r="AP55">
        <v>522</v>
      </c>
      <c r="AQ55" s="1" t="s">
        <v>314</v>
      </c>
      <c r="AR55">
        <v>1</v>
      </c>
      <c r="AS55">
        <v>0.74</v>
      </c>
      <c r="AT55" s="1" t="s">
        <v>306</v>
      </c>
      <c r="AU55">
        <v>522</v>
      </c>
      <c r="AV55" s="1" t="s">
        <v>315</v>
      </c>
      <c r="AW55">
        <v>1</v>
      </c>
      <c r="AX55" t="b">
        <v>0</v>
      </c>
      <c r="AY55" s="1" t="s">
        <v>316</v>
      </c>
      <c r="AZ55">
        <v>522</v>
      </c>
      <c r="BA55" s="1" t="s">
        <v>317</v>
      </c>
    </row>
    <row r="56" spans="1:53" x14ac:dyDescent="0.25">
      <c r="A56">
        <v>165</v>
      </c>
      <c r="B56" s="1" t="s">
        <v>217</v>
      </c>
      <c r="C56">
        <v>525</v>
      </c>
      <c r="D56">
        <v>1</v>
      </c>
      <c r="E56" t="b">
        <v>1</v>
      </c>
      <c r="F56" s="1" t="s">
        <v>304</v>
      </c>
      <c r="G56" s="1" t="s">
        <v>305</v>
      </c>
      <c r="H56">
        <v>525</v>
      </c>
      <c r="I56">
        <v>1</v>
      </c>
      <c r="J56">
        <v>0.26400000000000001</v>
      </c>
      <c r="K56" s="1" t="s">
        <v>306</v>
      </c>
      <c r="L56">
        <v>525</v>
      </c>
      <c r="M56" s="1" t="s">
        <v>307</v>
      </c>
      <c r="N56">
        <v>1</v>
      </c>
      <c r="O56">
        <v>4.9000000000000002E-2</v>
      </c>
      <c r="P56" s="1" t="s">
        <v>306</v>
      </c>
      <c r="Q56">
        <v>525</v>
      </c>
      <c r="R56" s="1" t="s">
        <v>308</v>
      </c>
      <c r="S56">
        <v>1</v>
      </c>
      <c r="T56">
        <v>0.16300000000000001</v>
      </c>
      <c r="U56" s="1" t="s">
        <v>306</v>
      </c>
      <c r="V56">
        <v>525</v>
      </c>
      <c r="W56" s="1" t="s">
        <v>309</v>
      </c>
      <c r="X56">
        <v>1</v>
      </c>
      <c r="Y56">
        <v>4.3999999999999997E-2</v>
      </c>
      <c r="Z56" s="1" t="s">
        <v>306</v>
      </c>
      <c r="AA56">
        <v>525</v>
      </c>
      <c r="AB56" s="1" t="s">
        <v>310</v>
      </c>
      <c r="AC56">
        <v>1</v>
      </c>
      <c r="AD56">
        <v>12.816850000000001</v>
      </c>
      <c r="AE56" s="1" t="s">
        <v>311</v>
      </c>
      <c r="AF56">
        <v>525</v>
      </c>
      <c r="AG56" s="1" t="s">
        <v>312</v>
      </c>
      <c r="AH56">
        <v>1</v>
      </c>
      <c r="AI56">
        <v>0.10100000000000001</v>
      </c>
      <c r="AJ56" s="1" t="s">
        <v>306</v>
      </c>
      <c r="AK56">
        <v>525</v>
      </c>
      <c r="AL56" s="1" t="s">
        <v>313</v>
      </c>
      <c r="AM56">
        <v>1</v>
      </c>
      <c r="AN56">
        <v>0</v>
      </c>
      <c r="AO56" s="1" t="s">
        <v>306</v>
      </c>
      <c r="AP56">
        <v>525</v>
      </c>
      <c r="AQ56" s="1" t="s">
        <v>314</v>
      </c>
      <c r="AR56">
        <v>1</v>
      </c>
      <c r="AS56">
        <v>0.73499999999999999</v>
      </c>
      <c r="AT56" s="1" t="s">
        <v>306</v>
      </c>
      <c r="AU56">
        <v>525</v>
      </c>
      <c r="AV56" s="1" t="s">
        <v>315</v>
      </c>
      <c r="AW56">
        <v>1</v>
      </c>
      <c r="AX56" t="b">
        <v>0</v>
      </c>
      <c r="AY56" s="1" t="s">
        <v>316</v>
      </c>
      <c r="AZ56">
        <v>525</v>
      </c>
      <c r="BA56" s="1" t="s">
        <v>317</v>
      </c>
    </row>
    <row r="57" spans="1:53" x14ac:dyDescent="0.25">
      <c r="A57">
        <v>168</v>
      </c>
      <c r="B57" s="1" t="s">
        <v>220</v>
      </c>
      <c r="C57">
        <v>528</v>
      </c>
      <c r="D57">
        <v>1</v>
      </c>
      <c r="E57" t="b">
        <v>1</v>
      </c>
      <c r="F57" s="1" t="s">
        <v>304</v>
      </c>
      <c r="G57" s="1" t="s">
        <v>305</v>
      </c>
      <c r="H57">
        <v>528</v>
      </c>
      <c r="I57">
        <v>1</v>
      </c>
      <c r="J57">
        <v>0.248</v>
      </c>
      <c r="K57" s="1" t="s">
        <v>306</v>
      </c>
      <c r="L57">
        <v>528</v>
      </c>
      <c r="M57" s="1" t="s">
        <v>307</v>
      </c>
      <c r="N57">
        <v>1</v>
      </c>
      <c r="O57">
        <v>4.9000000000000002E-2</v>
      </c>
      <c r="P57" s="1" t="s">
        <v>306</v>
      </c>
      <c r="Q57">
        <v>528</v>
      </c>
      <c r="R57" s="1" t="s">
        <v>308</v>
      </c>
      <c r="S57">
        <v>1</v>
      </c>
      <c r="T57">
        <v>0.18099999999999999</v>
      </c>
      <c r="U57" s="1" t="s">
        <v>306</v>
      </c>
      <c r="V57">
        <v>528</v>
      </c>
      <c r="W57" s="1" t="s">
        <v>309</v>
      </c>
      <c r="X57">
        <v>1</v>
      </c>
      <c r="Y57">
        <v>4.3999999999999997E-2</v>
      </c>
      <c r="Z57" s="1" t="s">
        <v>306</v>
      </c>
      <c r="AA57">
        <v>528</v>
      </c>
      <c r="AB57" s="1" t="s">
        <v>310</v>
      </c>
      <c r="AC57">
        <v>1</v>
      </c>
      <c r="AD57">
        <v>12.856680000000001</v>
      </c>
      <c r="AE57" s="1" t="s">
        <v>311</v>
      </c>
      <c r="AF57">
        <v>528</v>
      </c>
      <c r="AG57" s="1" t="s">
        <v>312</v>
      </c>
      <c r="AH57">
        <v>1</v>
      </c>
      <c r="AI57">
        <v>0.107</v>
      </c>
      <c r="AJ57" s="1" t="s">
        <v>306</v>
      </c>
      <c r="AK57">
        <v>528</v>
      </c>
      <c r="AL57" s="1" t="s">
        <v>313</v>
      </c>
      <c r="AM57">
        <v>1</v>
      </c>
      <c r="AN57">
        <v>0</v>
      </c>
      <c r="AO57" s="1" t="s">
        <v>306</v>
      </c>
      <c r="AP57">
        <v>528</v>
      </c>
      <c r="AQ57" s="1" t="s">
        <v>314</v>
      </c>
      <c r="AR57">
        <v>1</v>
      </c>
      <c r="AS57">
        <v>0.73499999999999999</v>
      </c>
      <c r="AT57" s="1" t="s">
        <v>306</v>
      </c>
      <c r="AU57">
        <v>528</v>
      </c>
      <c r="AV57" s="1" t="s">
        <v>315</v>
      </c>
      <c r="AW57">
        <v>1</v>
      </c>
      <c r="AX57" t="b">
        <v>0</v>
      </c>
      <c r="AY57" s="1" t="s">
        <v>316</v>
      </c>
      <c r="AZ57">
        <v>528</v>
      </c>
      <c r="BA57" s="1" t="s">
        <v>317</v>
      </c>
    </row>
    <row r="58" spans="1:53" x14ac:dyDescent="0.25">
      <c r="A58">
        <v>173</v>
      </c>
      <c r="B58" s="1" t="s">
        <v>225</v>
      </c>
      <c r="C58">
        <v>555</v>
      </c>
      <c r="D58">
        <v>1</v>
      </c>
      <c r="E58" t="b">
        <v>1</v>
      </c>
      <c r="F58" s="1" t="s">
        <v>304</v>
      </c>
      <c r="G58" s="1" t="s">
        <v>305</v>
      </c>
      <c r="H58">
        <v>555</v>
      </c>
      <c r="I58">
        <v>1</v>
      </c>
      <c r="J58">
        <v>0.28000000000000003</v>
      </c>
      <c r="K58" s="1" t="s">
        <v>306</v>
      </c>
      <c r="L58">
        <v>555</v>
      </c>
      <c r="M58" s="1" t="s">
        <v>307</v>
      </c>
      <c r="N58">
        <v>1</v>
      </c>
      <c r="O58">
        <v>0.02</v>
      </c>
      <c r="P58" s="1" t="s">
        <v>306</v>
      </c>
      <c r="Q58">
        <v>555</v>
      </c>
      <c r="R58" s="1" t="s">
        <v>308</v>
      </c>
      <c r="S58">
        <v>1</v>
      </c>
      <c r="T58">
        <v>0.16500000000000001</v>
      </c>
      <c r="U58" s="1" t="s">
        <v>306</v>
      </c>
      <c r="V58">
        <v>555</v>
      </c>
      <c r="W58" s="1" t="s">
        <v>309</v>
      </c>
      <c r="X58">
        <v>1</v>
      </c>
      <c r="Y58">
        <v>0.04</v>
      </c>
      <c r="Z58" s="1" t="s">
        <v>306</v>
      </c>
      <c r="AA58">
        <v>555</v>
      </c>
      <c r="AB58" s="1" t="s">
        <v>310</v>
      </c>
      <c r="AC58">
        <v>1</v>
      </c>
      <c r="AD58">
        <v>11.92154</v>
      </c>
      <c r="AE58" s="1" t="s">
        <v>311</v>
      </c>
      <c r="AF58">
        <v>555</v>
      </c>
      <c r="AG58" s="1" t="s">
        <v>312</v>
      </c>
      <c r="AH58">
        <v>1</v>
      </c>
      <c r="AI58">
        <v>0.1</v>
      </c>
      <c r="AJ58" s="1" t="s">
        <v>306</v>
      </c>
      <c r="AK58">
        <v>555</v>
      </c>
      <c r="AL58" s="1" t="s">
        <v>313</v>
      </c>
      <c r="AM58">
        <v>1</v>
      </c>
      <c r="AN58">
        <v>0</v>
      </c>
      <c r="AO58" s="1" t="s">
        <v>306</v>
      </c>
      <c r="AP58">
        <v>555</v>
      </c>
      <c r="AQ58" s="1" t="s">
        <v>314</v>
      </c>
      <c r="AR58">
        <v>1</v>
      </c>
      <c r="AS58">
        <v>0.68</v>
      </c>
      <c r="AT58" s="1" t="s">
        <v>306</v>
      </c>
      <c r="AU58">
        <v>555</v>
      </c>
      <c r="AV58" s="1" t="s">
        <v>315</v>
      </c>
      <c r="AW58">
        <v>1</v>
      </c>
      <c r="AX58" t="b">
        <v>0</v>
      </c>
      <c r="AY58" s="1" t="s">
        <v>316</v>
      </c>
      <c r="AZ58">
        <v>555</v>
      </c>
      <c r="BA58" s="1" t="s">
        <v>317</v>
      </c>
    </row>
    <row r="59" spans="1:53" x14ac:dyDescent="0.25">
      <c r="A59">
        <v>9</v>
      </c>
      <c r="B59" s="1" t="s">
        <v>61</v>
      </c>
      <c r="C59">
        <v>134</v>
      </c>
      <c r="D59">
        <v>14.465630000000001</v>
      </c>
      <c r="E59" t="b">
        <v>0</v>
      </c>
      <c r="F59" s="1">
        <v>134</v>
      </c>
      <c r="G59" s="1" t="s">
        <v>305</v>
      </c>
      <c r="H59">
        <v>134</v>
      </c>
      <c r="I59">
        <v>1</v>
      </c>
      <c r="J59">
        <v>0.153</v>
      </c>
      <c r="K59" s="1" t="s">
        <v>306</v>
      </c>
      <c r="L59">
        <v>134</v>
      </c>
      <c r="M59" s="1" t="s">
        <v>307</v>
      </c>
      <c r="N59">
        <v>1</v>
      </c>
      <c r="O59">
        <v>0.2</v>
      </c>
      <c r="P59" s="1" t="s">
        <v>306</v>
      </c>
      <c r="Q59">
        <v>134</v>
      </c>
      <c r="R59" s="1" t="s">
        <v>308</v>
      </c>
      <c r="S59">
        <v>1</v>
      </c>
      <c r="T59">
        <v>0.23699999999999999</v>
      </c>
      <c r="U59" s="1" t="s">
        <v>306</v>
      </c>
      <c r="V59">
        <v>134</v>
      </c>
      <c r="W59" s="1" t="s">
        <v>309</v>
      </c>
      <c r="X59">
        <v>1</v>
      </c>
      <c r="Y59">
        <v>0.02</v>
      </c>
      <c r="Z59" s="1" t="s">
        <v>306</v>
      </c>
      <c r="AA59">
        <v>134</v>
      </c>
      <c r="AB59" s="1" t="s">
        <v>310</v>
      </c>
      <c r="AC59">
        <v>1</v>
      </c>
      <c r="AD59">
        <v>14.465630000000001</v>
      </c>
      <c r="AE59" s="1" t="s">
        <v>311</v>
      </c>
      <c r="AF59">
        <v>134</v>
      </c>
      <c r="AG59" s="1" t="s">
        <v>312</v>
      </c>
      <c r="AH59">
        <v>1</v>
      </c>
      <c r="AI59">
        <v>7.2999999999999995E-2</v>
      </c>
      <c r="AJ59" s="1" t="s">
        <v>306</v>
      </c>
      <c r="AK59">
        <v>134</v>
      </c>
      <c r="AL59" s="1" t="s">
        <v>313</v>
      </c>
      <c r="AM59">
        <v>1</v>
      </c>
      <c r="AN59">
        <v>0</v>
      </c>
      <c r="AO59" s="1" t="s">
        <v>306</v>
      </c>
      <c r="AP59">
        <v>134</v>
      </c>
      <c r="AQ59" s="1" t="s">
        <v>314</v>
      </c>
      <c r="AR59">
        <v>1</v>
      </c>
      <c r="AS59">
        <v>0.81</v>
      </c>
      <c r="AT59" s="1" t="s">
        <v>306</v>
      </c>
      <c r="AU59">
        <v>134</v>
      </c>
      <c r="AV59" s="1" t="s">
        <v>315</v>
      </c>
      <c r="AW59">
        <v>1</v>
      </c>
      <c r="AX59" t="b">
        <v>0</v>
      </c>
      <c r="AY59" s="1" t="s">
        <v>316</v>
      </c>
      <c r="AZ59">
        <v>134</v>
      </c>
      <c r="BA59" s="1" t="s">
        <v>317</v>
      </c>
    </row>
    <row r="60" spans="1:53" x14ac:dyDescent="0.25">
      <c r="A60">
        <v>8</v>
      </c>
      <c r="B60" s="1" t="s">
        <v>60</v>
      </c>
      <c r="C60">
        <v>131</v>
      </c>
      <c r="D60">
        <v>15.87053</v>
      </c>
      <c r="E60" t="b">
        <v>0</v>
      </c>
      <c r="F60" s="1">
        <v>131</v>
      </c>
      <c r="G60" s="1" t="s">
        <v>305</v>
      </c>
      <c r="H60">
        <v>131</v>
      </c>
      <c r="I60">
        <v>1</v>
      </c>
      <c r="J60">
        <v>0.11700000000000001</v>
      </c>
      <c r="K60" s="1" t="s">
        <v>306</v>
      </c>
      <c r="L60">
        <v>131</v>
      </c>
      <c r="M60" s="1" t="s">
        <v>307</v>
      </c>
      <c r="N60">
        <v>1</v>
      </c>
      <c r="O60">
        <v>0.2</v>
      </c>
      <c r="P60" s="1" t="s">
        <v>306</v>
      </c>
      <c r="Q60">
        <v>131</v>
      </c>
      <c r="R60" s="1" t="s">
        <v>308</v>
      </c>
      <c r="S60">
        <v>1</v>
      </c>
      <c r="T60">
        <v>0.23599999999999999</v>
      </c>
      <c r="U60" s="1" t="s">
        <v>306</v>
      </c>
      <c r="V60">
        <v>131</v>
      </c>
      <c r="W60" s="1" t="s">
        <v>309</v>
      </c>
      <c r="X60">
        <v>1</v>
      </c>
      <c r="Y60">
        <v>8.4000000000000005E-2</v>
      </c>
      <c r="Z60" s="1" t="s">
        <v>306</v>
      </c>
      <c r="AA60">
        <v>131</v>
      </c>
      <c r="AB60" s="1" t="s">
        <v>310</v>
      </c>
      <c r="AC60">
        <v>1</v>
      </c>
      <c r="AD60">
        <v>15.87053</v>
      </c>
      <c r="AE60" s="1" t="s">
        <v>311</v>
      </c>
      <c r="AF60">
        <v>131</v>
      </c>
      <c r="AG60" s="1" t="s">
        <v>312</v>
      </c>
      <c r="AH60">
        <v>1</v>
      </c>
      <c r="AI60">
        <v>6.9000000000000006E-2</v>
      </c>
      <c r="AJ60" s="1" t="s">
        <v>306</v>
      </c>
      <c r="AK60">
        <v>131</v>
      </c>
      <c r="AL60" s="1" t="s">
        <v>313</v>
      </c>
      <c r="AM60">
        <v>1</v>
      </c>
      <c r="AN60">
        <v>0</v>
      </c>
      <c r="AO60" s="1" t="s">
        <v>306</v>
      </c>
      <c r="AP60">
        <v>131</v>
      </c>
      <c r="AQ60" s="1" t="s">
        <v>314</v>
      </c>
      <c r="AR60">
        <v>1</v>
      </c>
      <c r="AS60">
        <v>0.83</v>
      </c>
      <c r="AT60" s="1" t="s">
        <v>306</v>
      </c>
      <c r="AU60">
        <v>131</v>
      </c>
      <c r="AV60" s="1" t="s">
        <v>315</v>
      </c>
      <c r="AW60">
        <v>1</v>
      </c>
      <c r="AX60" t="b">
        <v>0</v>
      </c>
      <c r="AY60" s="1" t="s">
        <v>316</v>
      </c>
      <c r="AZ60">
        <v>131</v>
      </c>
      <c r="BA60" s="1" t="s">
        <v>317</v>
      </c>
    </row>
    <row r="61" spans="1:53" x14ac:dyDescent="0.25">
      <c r="A61">
        <v>11</v>
      </c>
      <c r="B61" s="1" t="s">
        <v>63</v>
      </c>
      <c r="C61">
        <v>139</v>
      </c>
      <c r="D61">
        <v>16.777519999999999</v>
      </c>
      <c r="E61" t="b">
        <v>0</v>
      </c>
      <c r="F61" s="1">
        <v>139</v>
      </c>
      <c r="G61" s="1" t="s">
        <v>305</v>
      </c>
      <c r="H61">
        <v>139</v>
      </c>
      <c r="I61">
        <v>1</v>
      </c>
      <c r="J61">
        <v>0.129</v>
      </c>
      <c r="K61" s="1" t="s">
        <v>306</v>
      </c>
      <c r="L61">
        <v>139</v>
      </c>
      <c r="M61" s="1" t="s">
        <v>307</v>
      </c>
      <c r="N61">
        <v>1</v>
      </c>
      <c r="O61">
        <v>0.2</v>
      </c>
      <c r="P61" s="1" t="s">
        <v>306</v>
      </c>
      <c r="Q61">
        <v>139</v>
      </c>
      <c r="R61" s="1" t="s">
        <v>308</v>
      </c>
      <c r="S61">
        <v>1</v>
      </c>
      <c r="T61">
        <v>0.219</v>
      </c>
      <c r="U61" s="1" t="s">
        <v>306</v>
      </c>
      <c r="V61">
        <v>139</v>
      </c>
      <c r="W61" s="1" t="s">
        <v>309</v>
      </c>
      <c r="X61">
        <v>1</v>
      </c>
      <c r="Y61">
        <v>0.13700000000000001</v>
      </c>
      <c r="Z61" s="1" t="s">
        <v>306</v>
      </c>
      <c r="AA61">
        <v>139</v>
      </c>
      <c r="AB61" s="1" t="s">
        <v>310</v>
      </c>
      <c r="AC61">
        <v>1</v>
      </c>
      <c r="AD61">
        <v>16.777519999999999</v>
      </c>
      <c r="AE61" s="1" t="s">
        <v>311</v>
      </c>
      <c r="AF61">
        <v>139</v>
      </c>
      <c r="AG61" s="1" t="s">
        <v>312</v>
      </c>
      <c r="AH61">
        <v>1</v>
      </c>
      <c r="AI61">
        <v>6.9000000000000006E-2</v>
      </c>
      <c r="AJ61" s="1" t="s">
        <v>306</v>
      </c>
      <c r="AK61">
        <v>139</v>
      </c>
      <c r="AL61" s="1" t="s">
        <v>313</v>
      </c>
      <c r="AM61">
        <v>1</v>
      </c>
      <c r="AN61">
        <v>0</v>
      </c>
      <c r="AO61" s="1" t="s">
        <v>306</v>
      </c>
      <c r="AP61">
        <v>139</v>
      </c>
      <c r="AQ61" s="1" t="s">
        <v>314</v>
      </c>
      <c r="AR61">
        <v>1</v>
      </c>
      <c r="AS61">
        <v>0.84</v>
      </c>
      <c r="AT61" s="1" t="s">
        <v>306</v>
      </c>
      <c r="AU61">
        <v>139</v>
      </c>
      <c r="AV61" s="1" t="s">
        <v>315</v>
      </c>
      <c r="AW61">
        <v>1</v>
      </c>
      <c r="AX61" t="b">
        <v>0</v>
      </c>
      <c r="AY61" s="1" t="s">
        <v>316</v>
      </c>
      <c r="AZ61">
        <v>139</v>
      </c>
      <c r="BA61" s="1" t="s">
        <v>317</v>
      </c>
    </row>
    <row r="62" spans="1:53" x14ac:dyDescent="0.25">
      <c r="A62">
        <v>4</v>
      </c>
      <c r="B62" s="1" t="s">
        <v>56</v>
      </c>
      <c r="C62">
        <v>105</v>
      </c>
      <c r="D62">
        <v>13.973050000000001</v>
      </c>
      <c r="E62" t="b">
        <v>0</v>
      </c>
      <c r="F62" s="1">
        <v>105</v>
      </c>
      <c r="G62" s="1" t="s">
        <v>305</v>
      </c>
      <c r="H62">
        <v>105</v>
      </c>
      <c r="I62">
        <v>1</v>
      </c>
      <c r="J62">
        <v>0.17299999999999999</v>
      </c>
      <c r="K62" s="1" t="s">
        <v>306</v>
      </c>
      <c r="L62">
        <v>105</v>
      </c>
      <c r="M62" s="1" t="s">
        <v>307</v>
      </c>
      <c r="N62">
        <v>1</v>
      </c>
      <c r="O62">
        <v>6.9000000000000006E-2</v>
      </c>
      <c r="P62" s="1" t="s">
        <v>306</v>
      </c>
      <c r="Q62">
        <v>105</v>
      </c>
      <c r="R62" s="1" t="s">
        <v>308</v>
      </c>
      <c r="S62">
        <v>1</v>
      </c>
      <c r="T62">
        <v>0.45100000000000001</v>
      </c>
      <c r="U62" s="1" t="s">
        <v>306</v>
      </c>
      <c r="V62">
        <v>105</v>
      </c>
      <c r="W62" s="1" t="s">
        <v>309</v>
      </c>
      <c r="X62">
        <v>1</v>
      </c>
      <c r="Y62">
        <v>1.7999999999999999E-2</v>
      </c>
      <c r="Z62" s="1" t="s">
        <v>306</v>
      </c>
      <c r="AA62">
        <v>105</v>
      </c>
      <c r="AB62" s="1" t="s">
        <v>310</v>
      </c>
      <c r="AC62">
        <v>1</v>
      </c>
      <c r="AD62">
        <v>13.973050000000001</v>
      </c>
      <c r="AE62" s="1" t="s">
        <v>311</v>
      </c>
      <c r="AF62">
        <v>105</v>
      </c>
      <c r="AG62" s="1" t="s">
        <v>312</v>
      </c>
      <c r="AH62">
        <v>1</v>
      </c>
      <c r="AI62">
        <v>6.6000000000000003E-2</v>
      </c>
      <c r="AJ62" s="1" t="s">
        <v>306</v>
      </c>
      <c r="AK62">
        <v>105</v>
      </c>
      <c r="AL62" s="1" t="s">
        <v>313</v>
      </c>
      <c r="AM62">
        <v>1</v>
      </c>
      <c r="AN62">
        <v>0</v>
      </c>
      <c r="AO62" s="1" t="s">
        <v>306</v>
      </c>
      <c r="AP62">
        <v>105</v>
      </c>
      <c r="AQ62" s="1" t="s">
        <v>314</v>
      </c>
      <c r="AR62">
        <v>1</v>
      </c>
      <c r="AS62">
        <v>0.69</v>
      </c>
      <c r="AT62" s="1" t="s">
        <v>306</v>
      </c>
      <c r="AU62">
        <v>105</v>
      </c>
      <c r="AV62" s="1" t="s">
        <v>315</v>
      </c>
      <c r="AW62">
        <v>1</v>
      </c>
      <c r="AX62" t="b">
        <v>0</v>
      </c>
      <c r="AY62" s="1" t="s">
        <v>316</v>
      </c>
      <c r="AZ62">
        <v>105</v>
      </c>
      <c r="BA62" s="1" t="s">
        <v>317</v>
      </c>
    </row>
    <row r="63" spans="1:53" x14ac:dyDescent="0.25">
      <c r="A63">
        <v>1</v>
      </c>
      <c r="B63" s="1" t="s">
        <v>53</v>
      </c>
      <c r="C63">
        <v>101</v>
      </c>
      <c r="D63">
        <v>16.340900000000001</v>
      </c>
      <c r="E63" t="b">
        <v>0</v>
      </c>
      <c r="F63" s="1">
        <v>101</v>
      </c>
      <c r="G63" s="1" t="s">
        <v>305</v>
      </c>
      <c r="H63">
        <v>101</v>
      </c>
      <c r="I63">
        <v>1</v>
      </c>
      <c r="J63">
        <v>0.104</v>
      </c>
      <c r="K63" s="1" t="s">
        <v>306</v>
      </c>
      <c r="L63">
        <v>101</v>
      </c>
      <c r="M63" s="1" t="s">
        <v>307</v>
      </c>
      <c r="N63">
        <v>1</v>
      </c>
      <c r="O63">
        <v>6.9000000000000006E-2</v>
      </c>
      <c r="P63" s="1" t="s">
        <v>306</v>
      </c>
      <c r="Q63">
        <v>101</v>
      </c>
      <c r="R63" s="1" t="s">
        <v>308</v>
      </c>
      <c r="S63">
        <v>1</v>
      </c>
      <c r="T63">
        <v>0.51500000000000001</v>
      </c>
      <c r="U63" s="1" t="s">
        <v>306</v>
      </c>
      <c r="V63">
        <v>101</v>
      </c>
      <c r="W63" s="1" t="s">
        <v>309</v>
      </c>
      <c r="X63">
        <v>1</v>
      </c>
      <c r="Y63">
        <v>3.5000000000000003E-2</v>
      </c>
      <c r="Z63" s="1" t="s">
        <v>306</v>
      </c>
      <c r="AA63">
        <v>101</v>
      </c>
      <c r="AB63" s="1" t="s">
        <v>310</v>
      </c>
      <c r="AC63">
        <v>1</v>
      </c>
      <c r="AD63">
        <v>16.340900000000001</v>
      </c>
      <c r="AE63" s="1" t="s">
        <v>311</v>
      </c>
      <c r="AF63">
        <v>101</v>
      </c>
      <c r="AG63" s="1" t="s">
        <v>312</v>
      </c>
      <c r="AH63">
        <v>1</v>
      </c>
      <c r="AI63">
        <v>7.2999999999999995E-2</v>
      </c>
      <c r="AJ63" s="1" t="s">
        <v>306</v>
      </c>
      <c r="AK63">
        <v>101</v>
      </c>
      <c r="AL63" s="1" t="s">
        <v>313</v>
      </c>
      <c r="AM63">
        <v>1</v>
      </c>
      <c r="AN63">
        <v>0</v>
      </c>
      <c r="AO63" s="1" t="s">
        <v>306</v>
      </c>
      <c r="AP63">
        <v>101</v>
      </c>
      <c r="AQ63" s="1" t="s">
        <v>314</v>
      </c>
      <c r="AR63">
        <v>1</v>
      </c>
      <c r="AS63">
        <v>0.8</v>
      </c>
      <c r="AT63" s="1" t="s">
        <v>306</v>
      </c>
      <c r="AU63">
        <v>101</v>
      </c>
      <c r="AV63" s="1" t="s">
        <v>315</v>
      </c>
      <c r="AW63">
        <v>1</v>
      </c>
      <c r="AX63" t="b">
        <v>0</v>
      </c>
      <c r="AY63" s="1" t="s">
        <v>316</v>
      </c>
      <c r="AZ63">
        <v>101</v>
      </c>
      <c r="BA63" s="1" t="s">
        <v>317</v>
      </c>
    </row>
    <row r="64" spans="1:53" x14ac:dyDescent="0.25">
      <c r="A64">
        <v>3</v>
      </c>
      <c r="B64" s="1" t="s">
        <v>55</v>
      </c>
      <c r="C64">
        <v>103</v>
      </c>
      <c r="D64">
        <v>11.99133</v>
      </c>
      <c r="E64" t="b">
        <v>0</v>
      </c>
      <c r="F64" s="1">
        <v>103</v>
      </c>
      <c r="G64" s="1" t="s">
        <v>305</v>
      </c>
      <c r="H64">
        <v>103</v>
      </c>
      <c r="I64">
        <v>1</v>
      </c>
      <c r="J64">
        <v>0.28699999999999998</v>
      </c>
      <c r="K64" s="1" t="s">
        <v>306</v>
      </c>
      <c r="L64">
        <v>103</v>
      </c>
      <c r="M64" s="1" t="s">
        <v>307</v>
      </c>
      <c r="N64">
        <v>1</v>
      </c>
      <c r="O64">
        <v>6.9000000000000006E-2</v>
      </c>
      <c r="P64" s="1" t="s">
        <v>306</v>
      </c>
      <c r="Q64">
        <v>103</v>
      </c>
      <c r="R64" s="1" t="s">
        <v>308</v>
      </c>
      <c r="S64">
        <v>1</v>
      </c>
      <c r="T64">
        <v>0.27900000000000003</v>
      </c>
      <c r="U64" s="1" t="s">
        <v>306</v>
      </c>
      <c r="V64">
        <v>103</v>
      </c>
      <c r="W64" s="1" t="s">
        <v>309</v>
      </c>
      <c r="X64">
        <v>1</v>
      </c>
      <c r="Y64">
        <v>6.6000000000000003E-2</v>
      </c>
      <c r="Z64" s="1" t="s">
        <v>306</v>
      </c>
      <c r="AA64">
        <v>103</v>
      </c>
      <c r="AB64" s="1" t="s">
        <v>310</v>
      </c>
      <c r="AC64">
        <v>1</v>
      </c>
      <c r="AD64">
        <v>11.99133</v>
      </c>
      <c r="AE64" s="1" t="s">
        <v>311</v>
      </c>
      <c r="AF64">
        <v>103</v>
      </c>
      <c r="AG64" s="1" t="s">
        <v>312</v>
      </c>
      <c r="AH64">
        <v>1</v>
      </c>
      <c r="AI64">
        <v>5.2999999999999999E-2</v>
      </c>
      <c r="AJ64" s="1" t="s">
        <v>306</v>
      </c>
      <c r="AK64">
        <v>103</v>
      </c>
      <c r="AL64" s="1" t="s">
        <v>313</v>
      </c>
      <c r="AM64">
        <v>1</v>
      </c>
      <c r="AN64">
        <v>0</v>
      </c>
      <c r="AO64" s="1" t="s">
        <v>306</v>
      </c>
      <c r="AP64">
        <v>103</v>
      </c>
      <c r="AQ64" s="1" t="s">
        <v>314</v>
      </c>
      <c r="AR64">
        <v>1</v>
      </c>
      <c r="AS64">
        <v>0.57999999999999996</v>
      </c>
      <c r="AT64" s="1" t="s">
        <v>306</v>
      </c>
      <c r="AU64">
        <v>103</v>
      </c>
      <c r="AV64" s="1" t="s">
        <v>315</v>
      </c>
      <c r="AW64">
        <v>1</v>
      </c>
      <c r="AX64" t="b">
        <v>0</v>
      </c>
      <c r="AY64" s="1" t="s">
        <v>316</v>
      </c>
      <c r="AZ64">
        <v>103</v>
      </c>
      <c r="BA64" s="1" t="s">
        <v>317</v>
      </c>
    </row>
    <row r="65" spans="1:53" x14ac:dyDescent="0.25">
      <c r="A65">
        <v>2</v>
      </c>
      <c r="B65" s="1" t="s">
        <v>54</v>
      </c>
      <c r="C65">
        <v>102</v>
      </c>
      <c r="D65">
        <v>14.03749</v>
      </c>
      <c r="E65" t="b">
        <v>0</v>
      </c>
      <c r="F65" s="1">
        <v>102</v>
      </c>
      <c r="G65" s="1" t="s">
        <v>305</v>
      </c>
      <c r="H65">
        <v>102</v>
      </c>
      <c r="I65">
        <v>1</v>
      </c>
      <c r="J65">
        <v>0.184</v>
      </c>
      <c r="K65" s="1" t="s">
        <v>306</v>
      </c>
      <c r="L65">
        <v>102</v>
      </c>
      <c r="M65" s="1" t="s">
        <v>307</v>
      </c>
      <c r="N65">
        <v>1</v>
      </c>
      <c r="O65">
        <v>6.9000000000000006E-2</v>
      </c>
      <c r="P65" s="1" t="s">
        <v>306</v>
      </c>
      <c r="Q65">
        <v>102</v>
      </c>
      <c r="R65" s="1" t="s">
        <v>308</v>
      </c>
      <c r="S65">
        <v>1</v>
      </c>
      <c r="T65">
        <v>0.42399999999999999</v>
      </c>
      <c r="U65" s="1" t="s">
        <v>306</v>
      </c>
      <c r="V65">
        <v>102</v>
      </c>
      <c r="W65" s="1" t="s">
        <v>309</v>
      </c>
      <c r="X65">
        <v>1</v>
      </c>
      <c r="Y65">
        <v>3.5000000000000003E-2</v>
      </c>
      <c r="Z65" s="1" t="s">
        <v>306</v>
      </c>
      <c r="AA65">
        <v>102</v>
      </c>
      <c r="AB65" s="1" t="s">
        <v>310</v>
      </c>
      <c r="AC65">
        <v>1</v>
      </c>
      <c r="AD65">
        <v>14.03749</v>
      </c>
      <c r="AE65" s="1" t="s">
        <v>311</v>
      </c>
      <c r="AF65">
        <v>102</v>
      </c>
      <c r="AG65" s="1" t="s">
        <v>312</v>
      </c>
      <c r="AH65">
        <v>1</v>
      </c>
      <c r="AI65">
        <v>6.9000000000000006E-2</v>
      </c>
      <c r="AJ65" s="1" t="s">
        <v>306</v>
      </c>
      <c r="AK65">
        <v>102</v>
      </c>
      <c r="AL65" s="1" t="s">
        <v>313</v>
      </c>
      <c r="AM65">
        <v>1</v>
      </c>
      <c r="AN65">
        <v>0</v>
      </c>
      <c r="AO65" s="1" t="s">
        <v>306</v>
      </c>
      <c r="AP65">
        <v>102</v>
      </c>
      <c r="AQ65" s="1" t="s">
        <v>314</v>
      </c>
      <c r="AR65">
        <v>1</v>
      </c>
      <c r="AS65">
        <v>0.69</v>
      </c>
      <c r="AT65" s="1" t="s">
        <v>306</v>
      </c>
      <c r="AU65">
        <v>102</v>
      </c>
      <c r="AV65" s="1" t="s">
        <v>315</v>
      </c>
      <c r="AW65">
        <v>1</v>
      </c>
      <c r="AX65" t="b">
        <v>0</v>
      </c>
      <c r="AY65" s="1" t="s">
        <v>316</v>
      </c>
      <c r="AZ65">
        <v>102</v>
      </c>
      <c r="BA65" s="1" t="s">
        <v>317</v>
      </c>
    </row>
    <row r="66" spans="1:53" x14ac:dyDescent="0.25">
      <c r="A66">
        <v>98</v>
      </c>
      <c r="B66" s="1" t="s">
        <v>150</v>
      </c>
      <c r="C66">
        <v>311</v>
      </c>
      <c r="D66">
        <v>19.260449999999999</v>
      </c>
      <c r="E66" t="b">
        <v>0</v>
      </c>
      <c r="F66" s="1">
        <v>311</v>
      </c>
      <c r="G66" s="1" t="s">
        <v>305</v>
      </c>
      <c r="H66">
        <v>311</v>
      </c>
      <c r="I66">
        <v>1</v>
      </c>
      <c r="J66">
        <v>0</v>
      </c>
      <c r="K66" s="1" t="s">
        <v>306</v>
      </c>
      <c r="L66">
        <v>311</v>
      </c>
      <c r="M66" s="1" t="s">
        <v>307</v>
      </c>
      <c r="N66">
        <v>1</v>
      </c>
      <c r="O66">
        <v>0.47</v>
      </c>
      <c r="P66" s="1" t="s">
        <v>306</v>
      </c>
      <c r="Q66">
        <v>311</v>
      </c>
      <c r="R66" s="1" t="s">
        <v>308</v>
      </c>
      <c r="S66">
        <v>1</v>
      </c>
      <c r="T66">
        <v>0.28000000000000003</v>
      </c>
      <c r="U66" s="1" t="s">
        <v>306</v>
      </c>
      <c r="V66">
        <v>311</v>
      </c>
      <c r="W66" s="1" t="s">
        <v>309</v>
      </c>
      <c r="X66">
        <v>1</v>
      </c>
      <c r="Y66">
        <v>0.18</v>
      </c>
      <c r="Z66" s="1" t="s">
        <v>306</v>
      </c>
      <c r="AA66">
        <v>311</v>
      </c>
      <c r="AB66" s="1" t="s">
        <v>310</v>
      </c>
      <c r="AC66">
        <v>1</v>
      </c>
      <c r="AD66">
        <v>19.260449999999999</v>
      </c>
      <c r="AE66" s="1" t="s">
        <v>311</v>
      </c>
      <c r="AF66">
        <v>311</v>
      </c>
      <c r="AG66" s="1" t="s">
        <v>312</v>
      </c>
      <c r="AH66">
        <v>1</v>
      </c>
      <c r="AI66">
        <v>7.0000000000000007E-2</v>
      </c>
      <c r="AJ66" s="1" t="s">
        <v>306</v>
      </c>
      <c r="AK66">
        <v>311</v>
      </c>
      <c r="AL66" s="1" t="s">
        <v>313</v>
      </c>
      <c r="AM66">
        <v>1</v>
      </c>
      <c r="AN66">
        <v>0</v>
      </c>
      <c r="AO66" s="1" t="s">
        <v>306</v>
      </c>
      <c r="AP66">
        <v>311</v>
      </c>
      <c r="AQ66" s="1" t="s">
        <v>314</v>
      </c>
      <c r="AR66">
        <v>1</v>
      </c>
      <c r="AS66">
        <v>0.95</v>
      </c>
      <c r="AT66" s="1" t="s">
        <v>306</v>
      </c>
      <c r="AU66">
        <v>311</v>
      </c>
      <c r="AV66" s="1" t="s">
        <v>315</v>
      </c>
      <c r="AW66">
        <v>1</v>
      </c>
      <c r="AX66" t="b">
        <v>0</v>
      </c>
      <c r="AY66" s="1" t="s">
        <v>316</v>
      </c>
      <c r="AZ66">
        <v>311</v>
      </c>
      <c r="BA66" s="1" t="s">
        <v>317</v>
      </c>
    </row>
    <row r="67" spans="1:53" x14ac:dyDescent="0.25">
      <c r="A67">
        <v>250</v>
      </c>
      <c r="B67" s="1" t="s">
        <v>301</v>
      </c>
      <c r="C67">
        <v>911</v>
      </c>
      <c r="D67">
        <v>1</v>
      </c>
      <c r="E67" t="b">
        <v>0</v>
      </c>
      <c r="F67" s="1" t="s">
        <v>304</v>
      </c>
      <c r="G67" s="1" t="s">
        <v>305</v>
      </c>
      <c r="H67">
        <v>911</v>
      </c>
      <c r="I67">
        <v>1</v>
      </c>
      <c r="J67">
        <v>0</v>
      </c>
      <c r="K67" s="1" t="s">
        <v>306</v>
      </c>
      <c r="L67">
        <v>911</v>
      </c>
      <c r="M67" s="1" t="s">
        <v>307</v>
      </c>
      <c r="N67">
        <v>1</v>
      </c>
      <c r="O67">
        <v>0</v>
      </c>
      <c r="P67" s="1" t="s">
        <v>306</v>
      </c>
      <c r="Q67">
        <v>911</v>
      </c>
      <c r="R67" s="1" t="s">
        <v>308</v>
      </c>
      <c r="S67">
        <v>1</v>
      </c>
      <c r="T67">
        <v>0.68799999999999994</v>
      </c>
      <c r="U67" s="1" t="s">
        <v>306</v>
      </c>
      <c r="V67">
        <v>911</v>
      </c>
      <c r="W67" s="1" t="s">
        <v>309</v>
      </c>
      <c r="X67">
        <v>1</v>
      </c>
      <c r="Y67">
        <v>4.65E-2</v>
      </c>
      <c r="Z67" s="1" t="s">
        <v>306</v>
      </c>
      <c r="AA67">
        <v>911</v>
      </c>
      <c r="AB67" s="1" t="s">
        <v>310</v>
      </c>
      <c r="AC67">
        <v>1</v>
      </c>
      <c r="AD67">
        <v>17.808029999999999</v>
      </c>
      <c r="AE67" s="1" t="s">
        <v>311</v>
      </c>
      <c r="AF67">
        <v>911</v>
      </c>
      <c r="AG67" s="1" t="s">
        <v>312</v>
      </c>
      <c r="AH67">
        <v>1</v>
      </c>
      <c r="AI67">
        <v>0.156</v>
      </c>
      <c r="AJ67" s="1" t="s">
        <v>306</v>
      </c>
      <c r="AK67">
        <v>911</v>
      </c>
      <c r="AL67" s="1" t="s">
        <v>313</v>
      </c>
      <c r="AM67">
        <v>1</v>
      </c>
      <c r="AN67">
        <v>0</v>
      </c>
      <c r="AO67" s="1" t="s">
        <v>306</v>
      </c>
      <c r="AP67">
        <v>911</v>
      </c>
      <c r="AQ67" s="1" t="s">
        <v>314</v>
      </c>
      <c r="AR67">
        <v>1</v>
      </c>
      <c r="AS67">
        <v>0.89</v>
      </c>
      <c r="AT67" s="1" t="s">
        <v>306</v>
      </c>
      <c r="AU67">
        <v>911</v>
      </c>
      <c r="AV67" s="1" t="s">
        <v>315</v>
      </c>
      <c r="AW67">
        <v>1</v>
      </c>
      <c r="AX67" t="b">
        <v>0</v>
      </c>
      <c r="AY67" s="1" t="s">
        <v>316</v>
      </c>
      <c r="AZ67">
        <v>911</v>
      </c>
      <c r="BA67" s="1" t="s">
        <v>317</v>
      </c>
    </row>
    <row r="68" spans="1:53" x14ac:dyDescent="0.25">
      <c r="A68">
        <v>249</v>
      </c>
      <c r="B68" s="1" t="s">
        <v>300</v>
      </c>
      <c r="C68">
        <v>909</v>
      </c>
      <c r="D68">
        <v>1</v>
      </c>
      <c r="E68" t="b">
        <v>0</v>
      </c>
      <c r="F68" s="1" t="s">
        <v>304</v>
      </c>
      <c r="G68" s="1" t="s">
        <v>305</v>
      </c>
      <c r="H68">
        <v>909</v>
      </c>
      <c r="I68">
        <v>1</v>
      </c>
      <c r="J68">
        <v>0</v>
      </c>
      <c r="K68" s="1" t="s">
        <v>306</v>
      </c>
      <c r="L68">
        <v>909</v>
      </c>
      <c r="M68" s="1" t="s">
        <v>307</v>
      </c>
      <c r="N68">
        <v>1</v>
      </c>
      <c r="O68">
        <v>0</v>
      </c>
      <c r="P68" s="1" t="s">
        <v>306</v>
      </c>
      <c r="Q68">
        <v>909</v>
      </c>
      <c r="R68" s="1" t="s">
        <v>308</v>
      </c>
      <c r="S68">
        <v>1</v>
      </c>
      <c r="T68">
        <v>0.74299999999999999</v>
      </c>
      <c r="U68" s="1" t="s">
        <v>306</v>
      </c>
      <c r="V68">
        <v>909</v>
      </c>
      <c r="W68" s="1" t="s">
        <v>309</v>
      </c>
      <c r="X68">
        <v>1</v>
      </c>
      <c r="Y68">
        <v>0.129</v>
      </c>
      <c r="Z68" s="1" t="s">
        <v>306</v>
      </c>
      <c r="AA68">
        <v>909</v>
      </c>
      <c r="AB68" s="1" t="s">
        <v>310</v>
      </c>
      <c r="AC68">
        <v>1</v>
      </c>
      <c r="AD68">
        <v>20.031379999999999</v>
      </c>
      <c r="AE68" s="1" t="s">
        <v>311</v>
      </c>
      <c r="AF68">
        <v>909</v>
      </c>
      <c r="AG68" s="1" t="s">
        <v>312</v>
      </c>
      <c r="AH68">
        <v>1</v>
      </c>
      <c r="AI68">
        <v>0.128001</v>
      </c>
      <c r="AJ68" s="1" t="s">
        <v>306</v>
      </c>
      <c r="AK68">
        <v>909</v>
      </c>
      <c r="AL68" s="1" t="s">
        <v>313</v>
      </c>
      <c r="AM68">
        <v>1</v>
      </c>
      <c r="AN68">
        <v>0</v>
      </c>
      <c r="AO68" s="1" t="s">
        <v>306</v>
      </c>
      <c r="AP68">
        <v>909</v>
      </c>
      <c r="AQ68" s="1" t="s">
        <v>314</v>
      </c>
      <c r="AR68">
        <v>1</v>
      </c>
      <c r="AS68">
        <v>0.89700000000000002</v>
      </c>
      <c r="AT68" s="1" t="s">
        <v>306</v>
      </c>
      <c r="AU68">
        <v>909</v>
      </c>
      <c r="AV68" s="1" t="s">
        <v>315</v>
      </c>
      <c r="AW68">
        <v>1</v>
      </c>
      <c r="AX68" t="b">
        <v>0</v>
      </c>
      <c r="AY68" s="1" t="s">
        <v>316</v>
      </c>
      <c r="AZ68">
        <v>909</v>
      </c>
      <c r="BA68" s="1" t="s">
        <v>317</v>
      </c>
    </row>
    <row r="69" spans="1:53" x14ac:dyDescent="0.25">
      <c r="A69">
        <v>248</v>
      </c>
      <c r="B69" s="1" t="s">
        <v>299</v>
      </c>
      <c r="C69">
        <v>908</v>
      </c>
      <c r="D69">
        <v>1</v>
      </c>
      <c r="E69" t="b">
        <v>0</v>
      </c>
      <c r="F69" s="1" t="s">
        <v>304</v>
      </c>
      <c r="G69" s="1" t="s">
        <v>305</v>
      </c>
      <c r="H69">
        <v>908</v>
      </c>
      <c r="I69">
        <v>1</v>
      </c>
      <c r="J69">
        <v>0</v>
      </c>
      <c r="K69" s="1" t="s">
        <v>306</v>
      </c>
      <c r="L69">
        <v>908</v>
      </c>
      <c r="M69" s="1" t="s">
        <v>307</v>
      </c>
      <c r="N69">
        <v>1</v>
      </c>
      <c r="O69">
        <v>0</v>
      </c>
      <c r="P69" s="1" t="s">
        <v>306</v>
      </c>
      <c r="Q69">
        <v>908</v>
      </c>
      <c r="R69" s="1" t="s">
        <v>308</v>
      </c>
      <c r="S69">
        <v>1</v>
      </c>
      <c r="T69">
        <v>0.74399999999999999</v>
      </c>
      <c r="U69" s="1" t="s">
        <v>306</v>
      </c>
      <c r="V69">
        <v>908</v>
      </c>
      <c r="W69" s="1" t="s">
        <v>309</v>
      </c>
      <c r="X69">
        <v>1</v>
      </c>
      <c r="Y69">
        <v>0.113</v>
      </c>
      <c r="Z69" s="1" t="s">
        <v>306</v>
      </c>
      <c r="AA69">
        <v>908</v>
      </c>
      <c r="AB69" s="1" t="s">
        <v>310</v>
      </c>
      <c r="AC69">
        <v>1</v>
      </c>
      <c r="AD69">
        <v>19.41039</v>
      </c>
      <c r="AE69" s="1" t="s">
        <v>311</v>
      </c>
      <c r="AF69">
        <v>908</v>
      </c>
      <c r="AG69" s="1" t="s">
        <v>312</v>
      </c>
      <c r="AH69">
        <v>1</v>
      </c>
      <c r="AI69">
        <v>0.14299999999999999</v>
      </c>
      <c r="AJ69" s="1" t="s">
        <v>306</v>
      </c>
      <c r="AK69">
        <v>908</v>
      </c>
      <c r="AL69" s="1" t="s">
        <v>313</v>
      </c>
      <c r="AM69">
        <v>1</v>
      </c>
      <c r="AN69">
        <v>0</v>
      </c>
      <c r="AO69" s="1" t="s">
        <v>306</v>
      </c>
      <c r="AP69">
        <v>908</v>
      </c>
      <c r="AQ69" s="1" t="s">
        <v>314</v>
      </c>
      <c r="AR69">
        <v>1</v>
      </c>
      <c r="AS69">
        <v>0.88780000000000003</v>
      </c>
      <c r="AT69" s="1" t="s">
        <v>306</v>
      </c>
      <c r="AU69">
        <v>908</v>
      </c>
      <c r="AV69" s="1" t="s">
        <v>315</v>
      </c>
      <c r="AW69">
        <v>1</v>
      </c>
      <c r="AX69" t="b">
        <v>0</v>
      </c>
      <c r="AY69" s="1" t="s">
        <v>316</v>
      </c>
      <c r="AZ69">
        <v>908</v>
      </c>
      <c r="BA69" s="1" t="s">
        <v>317</v>
      </c>
    </row>
    <row r="70" spans="1:53" x14ac:dyDescent="0.25">
      <c r="A70">
        <v>121</v>
      </c>
      <c r="B70" s="1" t="s">
        <v>173</v>
      </c>
      <c r="C70">
        <v>388</v>
      </c>
      <c r="D70">
        <v>1</v>
      </c>
      <c r="E70" t="b">
        <v>1</v>
      </c>
      <c r="F70" s="1" t="s">
        <v>304</v>
      </c>
      <c r="G70" s="1" t="s">
        <v>305</v>
      </c>
      <c r="H70">
        <v>388</v>
      </c>
      <c r="I70">
        <v>1</v>
      </c>
      <c r="J70">
        <v>5.3999999999999999E-2</v>
      </c>
      <c r="K70" s="1" t="s">
        <v>306</v>
      </c>
      <c r="L70">
        <v>388</v>
      </c>
      <c r="M70" s="1" t="s">
        <v>307</v>
      </c>
      <c r="N70">
        <v>1</v>
      </c>
      <c r="O70">
        <v>0.68</v>
      </c>
      <c r="P70" s="1" t="s">
        <v>306</v>
      </c>
      <c r="Q70">
        <v>388</v>
      </c>
      <c r="R70" s="1" t="s">
        <v>308</v>
      </c>
      <c r="S70">
        <v>1</v>
      </c>
      <c r="T70">
        <v>7.3999999999999996E-2</v>
      </c>
      <c r="U70" s="1" t="s">
        <v>306</v>
      </c>
      <c r="V70">
        <v>388</v>
      </c>
      <c r="W70" s="1" t="s">
        <v>309</v>
      </c>
      <c r="X70">
        <v>1</v>
      </c>
      <c r="Y70">
        <v>4.3E-3</v>
      </c>
      <c r="Z70" s="1" t="s">
        <v>306</v>
      </c>
      <c r="AA70">
        <v>388</v>
      </c>
      <c r="AB70" s="1" t="s">
        <v>310</v>
      </c>
      <c r="AC70">
        <v>1</v>
      </c>
      <c r="AD70">
        <v>13.974069999999999</v>
      </c>
      <c r="AE70" s="1" t="s">
        <v>311</v>
      </c>
      <c r="AF70">
        <v>388</v>
      </c>
      <c r="AG70" s="1" t="s">
        <v>312</v>
      </c>
      <c r="AH70">
        <v>1</v>
      </c>
      <c r="AI70">
        <v>0.08</v>
      </c>
      <c r="AJ70" s="1" t="s">
        <v>306</v>
      </c>
      <c r="AK70">
        <v>388</v>
      </c>
      <c r="AL70" s="1" t="s">
        <v>313</v>
      </c>
      <c r="AM70">
        <v>1</v>
      </c>
      <c r="AN70">
        <v>0</v>
      </c>
      <c r="AO70" s="1" t="s">
        <v>306</v>
      </c>
      <c r="AP70">
        <v>388</v>
      </c>
      <c r="AQ70" s="1" t="s">
        <v>314</v>
      </c>
      <c r="AR70">
        <v>1</v>
      </c>
      <c r="AS70">
        <v>0.9</v>
      </c>
      <c r="AT70" s="1" t="s">
        <v>306</v>
      </c>
      <c r="AU70">
        <v>388</v>
      </c>
      <c r="AV70" s="1" t="s">
        <v>315</v>
      </c>
      <c r="AW70">
        <v>1</v>
      </c>
      <c r="AX70" t="b">
        <v>0</v>
      </c>
      <c r="AY70" s="1" t="s">
        <v>316</v>
      </c>
      <c r="AZ70">
        <v>388</v>
      </c>
      <c r="BA70" s="1" t="s">
        <v>317</v>
      </c>
    </row>
    <row r="71" spans="1:53" x14ac:dyDescent="0.25">
      <c r="A71">
        <v>107</v>
      </c>
      <c r="B71" s="1" t="s">
        <v>159</v>
      </c>
      <c r="C71">
        <v>351</v>
      </c>
      <c r="D71">
        <v>1</v>
      </c>
      <c r="E71" t="b">
        <v>1</v>
      </c>
      <c r="F71" s="1" t="s">
        <v>304</v>
      </c>
      <c r="G71" s="1" t="s">
        <v>305</v>
      </c>
      <c r="H71">
        <v>351</v>
      </c>
      <c r="I71">
        <v>1</v>
      </c>
      <c r="J71">
        <v>5.3999999999999999E-2</v>
      </c>
      <c r="K71" s="1" t="s">
        <v>306</v>
      </c>
      <c r="L71">
        <v>351</v>
      </c>
      <c r="M71" s="1" t="s">
        <v>307</v>
      </c>
      <c r="N71">
        <v>1</v>
      </c>
      <c r="O71">
        <v>0.68</v>
      </c>
      <c r="P71" s="1" t="s">
        <v>306</v>
      </c>
      <c r="Q71">
        <v>351</v>
      </c>
      <c r="R71" s="1" t="s">
        <v>308</v>
      </c>
      <c r="S71">
        <v>1</v>
      </c>
      <c r="T71">
        <v>7.3999999999999996E-2</v>
      </c>
      <c r="U71" s="1" t="s">
        <v>306</v>
      </c>
      <c r="V71">
        <v>351</v>
      </c>
      <c r="W71" s="1" t="s">
        <v>309</v>
      </c>
      <c r="X71">
        <v>1</v>
      </c>
      <c r="Y71">
        <v>4.3E-3</v>
      </c>
      <c r="Z71" s="1" t="s">
        <v>306</v>
      </c>
      <c r="AA71">
        <v>351</v>
      </c>
      <c r="AB71" s="1" t="s">
        <v>310</v>
      </c>
      <c r="AC71">
        <v>1</v>
      </c>
      <c r="AD71">
        <v>13.974069999999999</v>
      </c>
      <c r="AE71" s="1" t="s">
        <v>311</v>
      </c>
      <c r="AF71">
        <v>351</v>
      </c>
      <c r="AG71" s="1" t="s">
        <v>312</v>
      </c>
      <c r="AH71">
        <v>1</v>
      </c>
      <c r="AI71">
        <v>0.08</v>
      </c>
      <c r="AJ71" s="1" t="s">
        <v>306</v>
      </c>
      <c r="AK71">
        <v>351</v>
      </c>
      <c r="AL71" s="1" t="s">
        <v>313</v>
      </c>
      <c r="AM71">
        <v>1</v>
      </c>
      <c r="AN71">
        <v>0</v>
      </c>
      <c r="AO71" s="1" t="s">
        <v>306</v>
      </c>
      <c r="AP71">
        <v>351</v>
      </c>
      <c r="AQ71" s="1" t="s">
        <v>314</v>
      </c>
      <c r="AR71">
        <v>1</v>
      </c>
      <c r="AS71">
        <v>0.9</v>
      </c>
      <c r="AT71" s="1" t="s">
        <v>306</v>
      </c>
      <c r="AU71">
        <v>351</v>
      </c>
      <c r="AV71" s="1" t="s">
        <v>315</v>
      </c>
      <c r="AW71">
        <v>1</v>
      </c>
      <c r="AX71" t="b">
        <v>0</v>
      </c>
      <c r="AY71" s="1" t="s">
        <v>316</v>
      </c>
      <c r="AZ71">
        <v>351</v>
      </c>
      <c r="BA71" s="1" t="s">
        <v>317</v>
      </c>
    </row>
    <row r="72" spans="1:53" x14ac:dyDescent="0.25">
      <c r="A72">
        <v>119</v>
      </c>
      <c r="B72" s="1" t="s">
        <v>171</v>
      </c>
      <c r="C72">
        <v>386</v>
      </c>
      <c r="D72">
        <v>1</v>
      </c>
      <c r="E72" t="b">
        <v>1</v>
      </c>
      <c r="F72" s="1" t="s">
        <v>304</v>
      </c>
      <c r="G72" s="1" t="s">
        <v>305</v>
      </c>
      <c r="H72">
        <v>386</v>
      </c>
      <c r="I72">
        <v>1</v>
      </c>
      <c r="J72">
        <v>5.3999999999999999E-2</v>
      </c>
      <c r="K72" s="1" t="s">
        <v>306</v>
      </c>
      <c r="L72">
        <v>386</v>
      </c>
      <c r="M72" s="1" t="s">
        <v>307</v>
      </c>
      <c r="N72">
        <v>1</v>
      </c>
      <c r="O72">
        <v>0.68</v>
      </c>
      <c r="P72" s="1" t="s">
        <v>306</v>
      </c>
      <c r="Q72">
        <v>386</v>
      </c>
      <c r="R72" s="1" t="s">
        <v>308</v>
      </c>
      <c r="S72">
        <v>1</v>
      </c>
      <c r="T72">
        <v>7.3999999999999996E-2</v>
      </c>
      <c r="U72" s="1" t="s">
        <v>306</v>
      </c>
      <c r="V72">
        <v>386</v>
      </c>
      <c r="W72" s="1" t="s">
        <v>309</v>
      </c>
      <c r="X72">
        <v>1</v>
      </c>
      <c r="Y72">
        <v>4.3E-3</v>
      </c>
      <c r="Z72" s="1" t="s">
        <v>306</v>
      </c>
      <c r="AA72">
        <v>386</v>
      </c>
      <c r="AB72" s="1" t="s">
        <v>310</v>
      </c>
      <c r="AC72">
        <v>1</v>
      </c>
      <c r="AD72">
        <v>13.974069999999999</v>
      </c>
      <c r="AE72" s="1" t="s">
        <v>311</v>
      </c>
      <c r="AF72">
        <v>386</v>
      </c>
      <c r="AG72" s="1" t="s">
        <v>312</v>
      </c>
      <c r="AH72">
        <v>1</v>
      </c>
      <c r="AI72">
        <v>0.08</v>
      </c>
      <c r="AJ72" s="1" t="s">
        <v>306</v>
      </c>
      <c r="AK72">
        <v>386</v>
      </c>
      <c r="AL72" s="1" t="s">
        <v>313</v>
      </c>
      <c r="AM72">
        <v>1</v>
      </c>
      <c r="AN72">
        <v>0</v>
      </c>
      <c r="AO72" s="1" t="s">
        <v>306</v>
      </c>
      <c r="AP72">
        <v>386</v>
      </c>
      <c r="AQ72" s="1" t="s">
        <v>314</v>
      </c>
      <c r="AR72">
        <v>1</v>
      </c>
      <c r="AS72">
        <v>0.9</v>
      </c>
      <c r="AT72" s="1" t="s">
        <v>306</v>
      </c>
      <c r="AU72">
        <v>386</v>
      </c>
      <c r="AV72" s="1" t="s">
        <v>315</v>
      </c>
      <c r="AW72">
        <v>1</v>
      </c>
      <c r="AX72" t="b">
        <v>0</v>
      </c>
      <c r="AY72" s="1" t="s">
        <v>316</v>
      </c>
      <c r="AZ72">
        <v>386</v>
      </c>
      <c r="BA72" s="1" t="s">
        <v>317</v>
      </c>
    </row>
    <row r="73" spans="1:53" x14ac:dyDescent="0.25">
      <c r="A73">
        <v>149</v>
      </c>
      <c r="B73" s="1" t="s">
        <v>201</v>
      </c>
      <c r="C73">
        <v>475</v>
      </c>
      <c r="D73">
        <v>1</v>
      </c>
      <c r="E73" t="b">
        <v>0</v>
      </c>
      <c r="F73" s="1" t="s">
        <v>304</v>
      </c>
      <c r="G73" s="1" t="s">
        <v>305</v>
      </c>
      <c r="H73">
        <v>475</v>
      </c>
      <c r="I73">
        <v>1</v>
      </c>
      <c r="J73">
        <v>0.20200000000000001</v>
      </c>
      <c r="K73" s="1" t="s">
        <v>306</v>
      </c>
      <c r="L73">
        <v>475</v>
      </c>
      <c r="M73" s="1" t="s">
        <v>307</v>
      </c>
      <c r="N73">
        <v>1</v>
      </c>
      <c r="O73">
        <v>0.1</v>
      </c>
      <c r="P73" s="1" t="s">
        <v>306</v>
      </c>
      <c r="Q73">
        <v>475</v>
      </c>
      <c r="R73" s="1" t="s">
        <v>308</v>
      </c>
      <c r="S73">
        <v>1</v>
      </c>
      <c r="T73">
        <v>0.129</v>
      </c>
      <c r="U73" s="1" t="s">
        <v>306</v>
      </c>
      <c r="V73">
        <v>475</v>
      </c>
      <c r="W73" s="1" t="s">
        <v>309</v>
      </c>
      <c r="X73">
        <v>1</v>
      </c>
      <c r="Y73">
        <v>1.7000000000000001E-2</v>
      </c>
      <c r="Z73" s="1" t="s">
        <v>306</v>
      </c>
      <c r="AA73">
        <v>475</v>
      </c>
      <c r="AB73" s="1" t="s">
        <v>310</v>
      </c>
      <c r="AC73">
        <v>1</v>
      </c>
      <c r="AD73">
        <v>13.20196</v>
      </c>
      <c r="AE73" s="1" t="s">
        <v>311</v>
      </c>
      <c r="AF73">
        <v>475</v>
      </c>
      <c r="AG73" s="1" t="s">
        <v>312</v>
      </c>
      <c r="AH73">
        <v>1</v>
      </c>
      <c r="AI73">
        <v>0.11</v>
      </c>
      <c r="AJ73" s="1" t="s">
        <v>306</v>
      </c>
      <c r="AK73">
        <v>475</v>
      </c>
      <c r="AL73" s="1" t="s">
        <v>313</v>
      </c>
      <c r="AM73">
        <v>1</v>
      </c>
      <c r="AN73">
        <v>0</v>
      </c>
      <c r="AO73" s="1" t="s">
        <v>306</v>
      </c>
      <c r="AP73">
        <v>475</v>
      </c>
      <c r="AQ73" s="1" t="s">
        <v>314</v>
      </c>
      <c r="AR73">
        <v>1</v>
      </c>
      <c r="AS73">
        <v>0.81</v>
      </c>
      <c r="AT73" s="1" t="s">
        <v>306</v>
      </c>
      <c r="AU73">
        <v>475</v>
      </c>
      <c r="AV73" s="1" t="s">
        <v>315</v>
      </c>
      <c r="AW73">
        <v>1</v>
      </c>
      <c r="AX73" t="b">
        <v>0</v>
      </c>
      <c r="AY73" s="1" t="s">
        <v>316</v>
      </c>
      <c r="AZ73">
        <v>475</v>
      </c>
      <c r="BA73" s="1" t="s">
        <v>317</v>
      </c>
    </row>
    <row r="74" spans="1:53" x14ac:dyDescent="0.25">
      <c r="A74">
        <v>183</v>
      </c>
      <c r="B74" s="1" t="s">
        <v>235</v>
      </c>
      <c r="C74">
        <v>575</v>
      </c>
      <c r="D74">
        <v>1</v>
      </c>
      <c r="E74" t="b">
        <v>0</v>
      </c>
      <c r="F74" s="1" t="s">
        <v>304</v>
      </c>
      <c r="G74" s="1" t="s">
        <v>305</v>
      </c>
      <c r="H74">
        <v>575</v>
      </c>
      <c r="I74">
        <v>1</v>
      </c>
      <c r="J74">
        <v>0.28000000000000003</v>
      </c>
      <c r="K74" s="1" t="s">
        <v>306</v>
      </c>
      <c r="L74">
        <v>575</v>
      </c>
      <c r="M74" s="1" t="s">
        <v>307</v>
      </c>
      <c r="N74">
        <v>1</v>
      </c>
      <c r="O74">
        <v>0.01</v>
      </c>
      <c r="P74" s="1" t="s">
        <v>306</v>
      </c>
      <c r="Q74">
        <v>575</v>
      </c>
      <c r="R74" s="1" t="s">
        <v>308</v>
      </c>
      <c r="S74">
        <v>1</v>
      </c>
      <c r="T74">
        <v>0.113</v>
      </c>
      <c r="U74" s="1" t="s">
        <v>306</v>
      </c>
      <c r="V74">
        <v>575</v>
      </c>
      <c r="W74" s="1" t="s">
        <v>309</v>
      </c>
      <c r="X74">
        <v>1</v>
      </c>
      <c r="Y74">
        <v>4.1000000000000002E-2</v>
      </c>
      <c r="Z74" s="1" t="s">
        <v>306</v>
      </c>
      <c r="AA74">
        <v>575</v>
      </c>
      <c r="AB74" s="1" t="s">
        <v>310</v>
      </c>
      <c r="AC74">
        <v>1</v>
      </c>
      <c r="AD74">
        <v>11.41174</v>
      </c>
      <c r="AE74" s="1" t="s">
        <v>311</v>
      </c>
      <c r="AF74">
        <v>575</v>
      </c>
      <c r="AG74" s="1" t="s">
        <v>312</v>
      </c>
      <c r="AH74">
        <v>1</v>
      </c>
      <c r="AI74">
        <v>0.129</v>
      </c>
      <c r="AJ74" s="1" t="s">
        <v>306</v>
      </c>
      <c r="AK74">
        <v>575</v>
      </c>
      <c r="AL74" s="1" t="s">
        <v>313</v>
      </c>
      <c r="AM74">
        <v>1</v>
      </c>
      <c r="AN74">
        <v>0</v>
      </c>
      <c r="AO74" s="1" t="s">
        <v>306</v>
      </c>
      <c r="AP74">
        <v>575</v>
      </c>
      <c r="AQ74" s="1" t="s">
        <v>314</v>
      </c>
      <c r="AR74">
        <v>1</v>
      </c>
      <c r="AS74">
        <v>0.69</v>
      </c>
      <c r="AT74" s="1" t="s">
        <v>306</v>
      </c>
      <c r="AU74">
        <v>575</v>
      </c>
      <c r="AV74" s="1" t="s">
        <v>315</v>
      </c>
      <c r="AW74">
        <v>1</v>
      </c>
      <c r="AX74" t="b">
        <v>0</v>
      </c>
      <c r="AY74" s="1" t="s">
        <v>316</v>
      </c>
      <c r="AZ74">
        <v>575</v>
      </c>
      <c r="BA74" s="1" t="s">
        <v>317</v>
      </c>
    </row>
    <row r="75" spans="1:53" x14ac:dyDescent="0.25">
      <c r="A75">
        <v>53</v>
      </c>
      <c r="B75" s="1" t="s">
        <v>105</v>
      </c>
      <c r="C75">
        <v>241</v>
      </c>
      <c r="D75">
        <v>15.72296</v>
      </c>
      <c r="E75" t="b">
        <v>0</v>
      </c>
      <c r="F75" s="1">
        <v>241</v>
      </c>
      <c r="G75" s="1" t="s">
        <v>305</v>
      </c>
      <c r="H75">
        <v>241</v>
      </c>
      <c r="I75">
        <v>1</v>
      </c>
      <c r="J75">
        <v>4.8000000000000001E-2</v>
      </c>
      <c r="K75" s="1" t="s">
        <v>306</v>
      </c>
      <c r="L75">
        <v>241</v>
      </c>
      <c r="M75" s="1" t="s">
        <v>307</v>
      </c>
      <c r="N75">
        <v>1</v>
      </c>
      <c r="O75">
        <v>0.57799999999999996</v>
      </c>
      <c r="P75" s="1" t="s">
        <v>306</v>
      </c>
      <c r="Q75">
        <v>241</v>
      </c>
      <c r="R75" s="1" t="s">
        <v>308</v>
      </c>
      <c r="S75">
        <v>1</v>
      </c>
      <c r="T75">
        <v>0.113</v>
      </c>
      <c r="U75" s="1" t="s">
        <v>306</v>
      </c>
      <c r="V75">
        <v>241</v>
      </c>
      <c r="W75" s="1" t="s">
        <v>309</v>
      </c>
      <c r="X75">
        <v>1</v>
      </c>
      <c r="Y75">
        <v>7.3999999999999996E-2</v>
      </c>
      <c r="Z75" s="1" t="s">
        <v>306</v>
      </c>
      <c r="AA75">
        <v>241</v>
      </c>
      <c r="AB75" s="1" t="s">
        <v>310</v>
      </c>
      <c r="AC75">
        <v>1</v>
      </c>
      <c r="AD75">
        <v>15.72296</v>
      </c>
      <c r="AE75" s="1" t="s">
        <v>311</v>
      </c>
      <c r="AF75">
        <v>241</v>
      </c>
      <c r="AG75" s="1" t="s">
        <v>312</v>
      </c>
      <c r="AH75">
        <v>1</v>
      </c>
      <c r="AI75">
        <v>3.5999999999999997E-2</v>
      </c>
      <c r="AJ75" s="1" t="s">
        <v>306</v>
      </c>
      <c r="AK75">
        <v>241</v>
      </c>
      <c r="AL75" s="1" t="s">
        <v>313</v>
      </c>
      <c r="AM75">
        <v>1</v>
      </c>
      <c r="AN75">
        <v>0</v>
      </c>
      <c r="AO75" s="1" t="s">
        <v>306</v>
      </c>
      <c r="AP75">
        <v>241</v>
      </c>
      <c r="AQ75" s="1" t="s">
        <v>314</v>
      </c>
      <c r="AR75">
        <v>1</v>
      </c>
      <c r="AS75">
        <v>0.85</v>
      </c>
      <c r="AT75" s="1" t="s">
        <v>306</v>
      </c>
      <c r="AU75">
        <v>241</v>
      </c>
      <c r="AV75" s="1" t="s">
        <v>315</v>
      </c>
      <c r="AW75">
        <v>1</v>
      </c>
      <c r="AX75" t="b">
        <v>0</v>
      </c>
      <c r="AY75" s="1" t="s">
        <v>316</v>
      </c>
      <c r="AZ75">
        <v>241</v>
      </c>
      <c r="BA75" s="1" t="s">
        <v>317</v>
      </c>
    </row>
    <row r="76" spans="1:53" x14ac:dyDescent="0.25">
      <c r="A76">
        <v>54</v>
      </c>
      <c r="B76" s="1" t="s">
        <v>106</v>
      </c>
      <c r="C76">
        <v>242</v>
      </c>
      <c r="D76">
        <v>15.42066</v>
      </c>
      <c r="E76" t="b">
        <v>0</v>
      </c>
      <c r="F76" s="1">
        <v>242</v>
      </c>
      <c r="G76" s="1" t="s">
        <v>305</v>
      </c>
      <c r="H76">
        <v>242</v>
      </c>
      <c r="I76">
        <v>1</v>
      </c>
      <c r="J76">
        <v>8.3333329999999997E-2</v>
      </c>
      <c r="K76" s="1" t="s">
        <v>306</v>
      </c>
      <c r="L76">
        <v>242</v>
      </c>
      <c r="M76" s="1" t="s">
        <v>307</v>
      </c>
      <c r="N76">
        <v>1</v>
      </c>
      <c r="O76">
        <v>0.21666663</v>
      </c>
      <c r="P76" s="1" t="s">
        <v>306</v>
      </c>
      <c r="Q76">
        <v>242</v>
      </c>
      <c r="R76" s="1" t="s">
        <v>308</v>
      </c>
      <c r="S76">
        <v>1</v>
      </c>
      <c r="T76">
        <v>0.22222220000000001</v>
      </c>
      <c r="U76" s="1" t="s">
        <v>306</v>
      </c>
      <c r="V76">
        <v>242</v>
      </c>
      <c r="W76" s="1" t="s">
        <v>309</v>
      </c>
      <c r="X76">
        <v>1</v>
      </c>
      <c r="Y76">
        <v>4.555555E-2</v>
      </c>
      <c r="Z76" s="1" t="s">
        <v>306</v>
      </c>
      <c r="AA76">
        <v>242</v>
      </c>
      <c r="AB76" s="1" t="s">
        <v>310</v>
      </c>
      <c r="AC76">
        <v>1</v>
      </c>
      <c r="AD76">
        <v>15.42066</v>
      </c>
      <c r="AE76" s="1" t="s">
        <v>311</v>
      </c>
      <c r="AF76">
        <v>242</v>
      </c>
      <c r="AG76" s="1" t="s">
        <v>312</v>
      </c>
      <c r="AH76">
        <v>1</v>
      </c>
      <c r="AI76">
        <v>6.4444000000000001E-2</v>
      </c>
      <c r="AJ76" s="1" t="s">
        <v>306</v>
      </c>
      <c r="AK76">
        <v>242</v>
      </c>
      <c r="AL76" s="1" t="s">
        <v>313</v>
      </c>
      <c r="AM76">
        <v>1</v>
      </c>
      <c r="AN76">
        <v>0</v>
      </c>
      <c r="AO76" s="1" t="s">
        <v>306</v>
      </c>
      <c r="AP76">
        <v>242</v>
      </c>
      <c r="AQ76" s="1" t="s">
        <v>314</v>
      </c>
      <c r="AR76">
        <v>1</v>
      </c>
      <c r="AS76">
        <v>0.84199999999999997</v>
      </c>
      <c r="AT76" s="1" t="s">
        <v>306</v>
      </c>
      <c r="AU76">
        <v>242</v>
      </c>
      <c r="AV76" s="1" t="s">
        <v>315</v>
      </c>
      <c r="AW76">
        <v>1</v>
      </c>
      <c r="AX76" t="b">
        <v>0</v>
      </c>
      <c r="AY76" s="1" t="s">
        <v>316</v>
      </c>
      <c r="AZ76">
        <v>242</v>
      </c>
      <c r="BA76" s="1" t="s">
        <v>317</v>
      </c>
    </row>
    <row r="77" spans="1:53" x14ac:dyDescent="0.25">
      <c r="A77">
        <v>47</v>
      </c>
      <c r="B77" s="1" t="s">
        <v>99</v>
      </c>
      <c r="C77">
        <v>227</v>
      </c>
      <c r="D77">
        <v>14.81047</v>
      </c>
      <c r="E77" t="b">
        <v>0</v>
      </c>
      <c r="F77" s="1">
        <v>227</v>
      </c>
      <c r="G77" s="1" t="s">
        <v>305</v>
      </c>
      <c r="H77">
        <v>227</v>
      </c>
      <c r="I77">
        <v>1</v>
      </c>
      <c r="J77">
        <v>3.5000000000000003E-2</v>
      </c>
      <c r="K77" s="1" t="s">
        <v>306</v>
      </c>
      <c r="L77">
        <v>227</v>
      </c>
      <c r="M77" s="1" t="s">
        <v>307</v>
      </c>
      <c r="N77">
        <v>1</v>
      </c>
      <c r="O77">
        <v>0.56799999999999995</v>
      </c>
      <c r="P77" s="1" t="s">
        <v>306</v>
      </c>
      <c r="Q77">
        <v>227</v>
      </c>
      <c r="R77" s="1" t="s">
        <v>308</v>
      </c>
      <c r="S77">
        <v>1</v>
      </c>
      <c r="T77">
        <v>0.152</v>
      </c>
      <c r="U77" s="1" t="s">
        <v>306</v>
      </c>
      <c r="V77">
        <v>227</v>
      </c>
      <c r="W77" s="1" t="s">
        <v>309</v>
      </c>
      <c r="X77">
        <v>1</v>
      </c>
      <c r="Y77">
        <v>0.08</v>
      </c>
      <c r="Z77" s="1" t="s">
        <v>306</v>
      </c>
      <c r="AA77">
        <v>227</v>
      </c>
      <c r="AB77" s="1" t="s">
        <v>310</v>
      </c>
      <c r="AC77">
        <v>1</v>
      </c>
      <c r="AD77">
        <v>14.81047</v>
      </c>
      <c r="AE77" s="1" t="s">
        <v>311</v>
      </c>
      <c r="AF77">
        <v>227</v>
      </c>
      <c r="AG77" s="1" t="s">
        <v>312</v>
      </c>
      <c r="AH77">
        <v>1</v>
      </c>
      <c r="AI77">
        <v>0.03</v>
      </c>
      <c r="AJ77" s="1" t="s">
        <v>306</v>
      </c>
      <c r="AK77">
        <v>227</v>
      </c>
      <c r="AL77" s="1" t="s">
        <v>313</v>
      </c>
      <c r="AM77">
        <v>1</v>
      </c>
      <c r="AN77">
        <v>0</v>
      </c>
      <c r="AO77" s="1" t="s">
        <v>306</v>
      </c>
      <c r="AP77">
        <v>227</v>
      </c>
      <c r="AQ77" s="1" t="s">
        <v>314</v>
      </c>
      <c r="AR77">
        <v>1</v>
      </c>
      <c r="AS77">
        <v>0.76959999999999995</v>
      </c>
      <c r="AT77" s="1" t="s">
        <v>306</v>
      </c>
      <c r="AU77">
        <v>227</v>
      </c>
      <c r="AV77" s="1" t="s">
        <v>315</v>
      </c>
      <c r="AW77">
        <v>1</v>
      </c>
      <c r="AX77" t="b">
        <v>0</v>
      </c>
      <c r="AY77" s="1" t="s">
        <v>316</v>
      </c>
      <c r="AZ77">
        <v>227</v>
      </c>
      <c r="BA77" s="1" t="s">
        <v>317</v>
      </c>
    </row>
    <row r="78" spans="1:53" x14ac:dyDescent="0.25">
      <c r="A78">
        <v>61</v>
      </c>
      <c r="B78" s="1" t="s">
        <v>113</v>
      </c>
      <c r="C78">
        <v>253</v>
      </c>
      <c r="D78">
        <v>14.581580000000001</v>
      </c>
      <c r="E78" t="b">
        <v>0</v>
      </c>
      <c r="F78" s="1">
        <v>253</v>
      </c>
      <c r="G78" s="1" t="s">
        <v>305</v>
      </c>
      <c r="H78">
        <v>253</v>
      </c>
      <c r="I78">
        <v>1</v>
      </c>
      <c r="J78">
        <v>4.7E-2</v>
      </c>
      <c r="K78" s="1" t="s">
        <v>306</v>
      </c>
      <c r="L78">
        <v>253</v>
      </c>
      <c r="M78" s="1" t="s">
        <v>307</v>
      </c>
      <c r="N78">
        <v>1</v>
      </c>
      <c r="O78">
        <v>0.45</v>
      </c>
      <c r="P78" s="1" t="s">
        <v>306</v>
      </c>
      <c r="Q78">
        <v>253</v>
      </c>
      <c r="R78" s="1" t="s">
        <v>308</v>
      </c>
      <c r="S78">
        <v>1</v>
      </c>
      <c r="T78">
        <v>0.13500000000000001</v>
      </c>
      <c r="U78" s="1" t="s">
        <v>306</v>
      </c>
      <c r="V78">
        <v>253</v>
      </c>
      <c r="W78" s="1" t="s">
        <v>309</v>
      </c>
      <c r="X78">
        <v>1</v>
      </c>
      <c r="Y78">
        <v>0.14699999999999999</v>
      </c>
      <c r="Z78" s="1" t="s">
        <v>306</v>
      </c>
      <c r="AA78">
        <v>253</v>
      </c>
      <c r="AB78" s="1" t="s">
        <v>310</v>
      </c>
      <c r="AC78">
        <v>1</v>
      </c>
      <c r="AD78">
        <v>14.581580000000001</v>
      </c>
      <c r="AE78" s="1" t="s">
        <v>311</v>
      </c>
      <c r="AF78">
        <v>253</v>
      </c>
      <c r="AG78" s="1" t="s">
        <v>312</v>
      </c>
      <c r="AH78">
        <v>1</v>
      </c>
      <c r="AI78">
        <v>8.1000000000000003E-2</v>
      </c>
      <c r="AJ78" s="1" t="s">
        <v>306</v>
      </c>
      <c r="AK78">
        <v>253</v>
      </c>
      <c r="AL78" s="1" t="s">
        <v>313</v>
      </c>
      <c r="AM78">
        <v>1</v>
      </c>
      <c r="AN78">
        <v>0</v>
      </c>
      <c r="AO78" s="1" t="s">
        <v>306</v>
      </c>
      <c r="AP78">
        <v>253</v>
      </c>
      <c r="AQ78" s="1" t="s">
        <v>314</v>
      </c>
      <c r="AR78">
        <v>1</v>
      </c>
      <c r="AS78">
        <v>0.73677999999999999</v>
      </c>
      <c r="AT78" s="1" t="s">
        <v>306</v>
      </c>
      <c r="AU78">
        <v>253</v>
      </c>
      <c r="AV78" s="1" t="s">
        <v>315</v>
      </c>
      <c r="AW78">
        <v>1</v>
      </c>
      <c r="AX78" t="b">
        <v>0</v>
      </c>
      <c r="AY78" s="1" t="s">
        <v>316</v>
      </c>
      <c r="AZ78">
        <v>253</v>
      </c>
      <c r="BA78" s="1" t="s">
        <v>317</v>
      </c>
    </row>
    <row r="79" spans="1:53" x14ac:dyDescent="0.25">
      <c r="A79">
        <v>236</v>
      </c>
      <c r="B79" s="1" t="s">
        <v>287</v>
      </c>
      <c r="C79">
        <v>740</v>
      </c>
      <c r="D79">
        <v>1</v>
      </c>
      <c r="E79" t="b">
        <v>0</v>
      </c>
      <c r="F79" s="1" t="s">
        <v>304</v>
      </c>
      <c r="G79" s="1" t="s">
        <v>305</v>
      </c>
      <c r="H79">
        <v>740</v>
      </c>
      <c r="I79">
        <v>1</v>
      </c>
      <c r="J79">
        <v>0</v>
      </c>
      <c r="K79" s="1" t="s">
        <v>306</v>
      </c>
      <c r="L79">
        <v>740</v>
      </c>
      <c r="M79" s="1" t="s">
        <v>307</v>
      </c>
      <c r="N79">
        <v>1</v>
      </c>
      <c r="P79" s="1" t="s">
        <v>306</v>
      </c>
      <c r="Q79">
        <v>740</v>
      </c>
      <c r="R79" s="1" t="s">
        <v>308</v>
      </c>
      <c r="S79">
        <v>1</v>
      </c>
      <c r="T79">
        <v>0</v>
      </c>
      <c r="U79" s="1" t="s">
        <v>306</v>
      </c>
      <c r="V79">
        <v>740</v>
      </c>
      <c r="W79" s="1" t="s">
        <v>309</v>
      </c>
      <c r="X79">
        <v>1</v>
      </c>
      <c r="Z79" s="1" t="s">
        <v>306</v>
      </c>
      <c r="AA79">
        <v>740</v>
      </c>
      <c r="AB79" s="1" t="s">
        <v>310</v>
      </c>
      <c r="AC79">
        <v>1</v>
      </c>
      <c r="AD79">
        <v>0</v>
      </c>
      <c r="AE79" s="1" t="s">
        <v>311</v>
      </c>
      <c r="AF79">
        <v>740</v>
      </c>
      <c r="AG79" s="1" t="s">
        <v>312</v>
      </c>
      <c r="AH79">
        <v>1</v>
      </c>
      <c r="AI79">
        <v>1</v>
      </c>
      <c r="AJ79" s="1" t="s">
        <v>306</v>
      </c>
      <c r="AK79">
        <v>740</v>
      </c>
      <c r="AL79" s="1" t="s">
        <v>313</v>
      </c>
      <c r="AM79">
        <v>1</v>
      </c>
      <c r="AN79">
        <v>0</v>
      </c>
      <c r="AO79" s="1" t="s">
        <v>306</v>
      </c>
      <c r="AP79">
        <v>740</v>
      </c>
      <c r="AQ79" s="1" t="s">
        <v>314</v>
      </c>
      <c r="AR79">
        <v>1</v>
      </c>
      <c r="AT79" s="1" t="s">
        <v>306</v>
      </c>
      <c r="AU79">
        <v>740</v>
      </c>
      <c r="AV79" s="1" t="s">
        <v>315</v>
      </c>
      <c r="AW79">
        <v>1</v>
      </c>
      <c r="AX79" t="b">
        <v>0</v>
      </c>
      <c r="AY79" s="1" t="s">
        <v>316</v>
      </c>
      <c r="AZ79">
        <v>740</v>
      </c>
      <c r="BA79" s="1" t="s">
        <v>317</v>
      </c>
    </row>
    <row r="80" spans="1:53" x14ac:dyDescent="0.25">
      <c r="A80">
        <v>240</v>
      </c>
      <c r="B80" s="1" t="s">
        <v>291</v>
      </c>
      <c r="C80">
        <v>760</v>
      </c>
      <c r="D80">
        <v>1</v>
      </c>
      <c r="E80" t="b">
        <v>0</v>
      </c>
      <c r="F80" s="1" t="s">
        <v>304</v>
      </c>
      <c r="G80" s="1" t="s">
        <v>305</v>
      </c>
      <c r="H80">
        <v>760</v>
      </c>
      <c r="I80">
        <v>1</v>
      </c>
      <c r="J80">
        <v>0</v>
      </c>
      <c r="K80" s="1" t="s">
        <v>306</v>
      </c>
      <c r="L80">
        <v>760</v>
      </c>
      <c r="M80" s="1" t="s">
        <v>307</v>
      </c>
      <c r="N80">
        <v>1</v>
      </c>
      <c r="P80" s="1" t="s">
        <v>306</v>
      </c>
      <c r="Q80">
        <v>760</v>
      </c>
      <c r="R80" s="1" t="s">
        <v>308</v>
      </c>
      <c r="S80">
        <v>1</v>
      </c>
      <c r="T80">
        <v>2.88</v>
      </c>
      <c r="U80" s="1" t="s">
        <v>306</v>
      </c>
      <c r="V80">
        <v>760</v>
      </c>
      <c r="W80" s="1" t="s">
        <v>309</v>
      </c>
      <c r="X80">
        <v>1</v>
      </c>
      <c r="Z80" s="1" t="s">
        <v>306</v>
      </c>
      <c r="AA80">
        <v>760</v>
      </c>
      <c r="AB80" s="1" t="s">
        <v>310</v>
      </c>
      <c r="AC80">
        <v>1</v>
      </c>
      <c r="AD80">
        <v>0</v>
      </c>
      <c r="AE80" s="1" t="s">
        <v>311</v>
      </c>
      <c r="AF80">
        <v>760</v>
      </c>
      <c r="AG80" s="1" t="s">
        <v>312</v>
      </c>
      <c r="AH80">
        <v>1</v>
      </c>
      <c r="AI80">
        <v>1</v>
      </c>
      <c r="AJ80" s="1" t="s">
        <v>306</v>
      </c>
      <c r="AK80">
        <v>760</v>
      </c>
      <c r="AL80" s="1" t="s">
        <v>313</v>
      </c>
      <c r="AM80">
        <v>1</v>
      </c>
      <c r="AN80">
        <v>0</v>
      </c>
      <c r="AO80" s="1" t="s">
        <v>306</v>
      </c>
      <c r="AP80">
        <v>760</v>
      </c>
      <c r="AQ80" s="1" t="s">
        <v>314</v>
      </c>
      <c r="AR80">
        <v>1</v>
      </c>
      <c r="AT80" s="1" t="s">
        <v>306</v>
      </c>
      <c r="AU80">
        <v>760</v>
      </c>
      <c r="AV80" s="1" t="s">
        <v>315</v>
      </c>
      <c r="AW80">
        <v>1</v>
      </c>
      <c r="AX80" t="b">
        <v>0</v>
      </c>
      <c r="AY80" s="1" t="s">
        <v>316</v>
      </c>
      <c r="AZ80">
        <v>760</v>
      </c>
      <c r="BA80" s="1" t="s">
        <v>317</v>
      </c>
    </row>
    <row r="81" spans="1:53" x14ac:dyDescent="0.25">
      <c r="A81">
        <v>96</v>
      </c>
      <c r="B81" s="1" t="s">
        <v>148</v>
      </c>
      <c r="C81">
        <v>309</v>
      </c>
      <c r="D81">
        <v>23.14751</v>
      </c>
      <c r="E81" t="b">
        <v>0</v>
      </c>
      <c r="F81" s="1">
        <v>309</v>
      </c>
      <c r="G81" s="1" t="s">
        <v>305</v>
      </c>
      <c r="H81">
        <v>309</v>
      </c>
      <c r="I81">
        <v>1</v>
      </c>
      <c r="J81">
        <v>0</v>
      </c>
      <c r="K81" s="1" t="s">
        <v>306</v>
      </c>
      <c r="L81">
        <v>309</v>
      </c>
      <c r="M81" s="1" t="s">
        <v>307</v>
      </c>
      <c r="N81">
        <v>1</v>
      </c>
      <c r="O81">
        <v>0.27200000000000002</v>
      </c>
      <c r="P81" s="1" t="s">
        <v>306</v>
      </c>
      <c r="Q81">
        <v>309</v>
      </c>
      <c r="R81" s="1" t="s">
        <v>308</v>
      </c>
      <c r="S81">
        <v>1</v>
      </c>
      <c r="T81">
        <v>0.25800000000000001</v>
      </c>
      <c r="U81" s="1" t="s">
        <v>306</v>
      </c>
      <c r="V81">
        <v>309</v>
      </c>
      <c r="W81" s="1" t="s">
        <v>309</v>
      </c>
      <c r="X81">
        <v>1</v>
      </c>
      <c r="Y81">
        <v>0.41</v>
      </c>
      <c r="Z81" s="1" t="s">
        <v>306</v>
      </c>
      <c r="AA81">
        <v>309</v>
      </c>
      <c r="AB81" s="1" t="s">
        <v>310</v>
      </c>
      <c r="AC81">
        <v>1</v>
      </c>
      <c r="AD81">
        <v>23.14751</v>
      </c>
      <c r="AE81" s="1" t="s">
        <v>311</v>
      </c>
      <c r="AF81">
        <v>309</v>
      </c>
      <c r="AG81" s="1" t="s">
        <v>312</v>
      </c>
      <c r="AH81">
        <v>1</v>
      </c>
      <c r="AI81">
        <v>0.06</v>
      </c>
      <c r="AJ81" s="1" t="s">
        <v>306</v>
      </c>
      <c r="AK81">
        <v>309</v>
      </c>
      <c r="AL81" s="1" t="s">
        <v>313</v>
      </c>
      <c r="AM81">
        <v>1</v>
      </c>
      <c r="AN81">
        <v>0</v>
      </c>
      <c r="AO81" s="1" t="s">
        <v>306</v>
      </c>
      <c r="AP81">
        <v>309</v>
      </c>
      <c r="AQ81" s="1" t="s">
        <v>314</v>
      </c>
      <c r="AR81">
        <v>1</v>
      </c>
      <c r="AS81">
        <v>0.95</v>
      </c>
      <c r="AT81" s="1" t="s">
        <v>306</v>
      </c>
      <c r="AU81">
        <v>309</v>
      </c>
      <c r="AV81" s="1" t="s">
        <v>315</v>
      </c>
      <c r="AW81">
        <v>1</v>
      </c>
      <c r="AX81" t="b">
        <v>0</v>
      </c>
      <c r="AY81" s="1" t="s">
        <v>316</v>
      </c>
      <c r="AZ81">
        <v>309</v>
      </c>
      <c r="BA81" s="1" t="s">
        <v>317</v>
      </c>
    </row>
    <row r="82" spans="1:53" x14ac:dyDescent="0.25">
      <c r="A82">
        <v>95</v>
      </c>
      <c r="B82" s="1" t="s">
        <v>147</v>
      </c>
      <c r="C82">
        <v>308</v>
      </c>
      <c r="D82">
        <v>21.507100000000001</v>
      </c>
      <c r="E82" t="b">
        <v>0</v>
      </c>
      <c r="F82" s="1">
        <v>308</v>
      </c>
      <c r="G82" s="1" t="s">
        <v>305</v>
      </c>
      <c r="H82">
        <v>308</v>
      </c>
      <c r="I82">
        <v>1</v>
      </c>
      <c r="J82">
        <v>0</v>
      </c>
      <c r="K82" s="1" t="s">
        <v>306</v>
      </c>
      <c r="L82">
        <v>308</v>
      </c>
      <c r="M82" s="1" t="s">
        <v>307</v>
      </c>
      <c r="N82">
        <v>1</v>
      </c>
      <c r="O82">
        <v>0.36499999999999999</v>
      </c>
      <c r="P82" s="1" t="s">
        <v>306</v>
      </c>
      <c r="Q82">
        <v>308</v>
      </c>
      <c r="R82" s="1" t="s">
        <v>308</v>
      </c>
      <c r="S82">
        <v>1</v>
      </c>
      <c r="T82">
        <v>0.26500000000000001</v>
      </c>
      <c r="U82" s="1" t="s">
        <v>306</v>
      </c>
      <c r="V82">
        <v>308</v>
      </c>
      <c r="W82" s="1" t="s">
        <v>309</v>
      </c>
      <c r="X82">
        <v>1</v>
      </c>
      <c r="Y82">
        <v>0.31</v>
      </c>
      <c r="Z82" s="1" t="s">
        <v>306</v>
      </c>
      <c r="AA82">
        <v>308</v>
      </c>
      <c r="AB82" s="1" t="s">
        <v>310</v>
      </c>
      <c r="AC82">
        <v>1</v>
      </c>
      <c r="AD82">
        <v>21.507100000000001</v>
      </c>
      <c r="AE82" s="1" t="s">
        <v>311</v>
      </c>
      <c r="AF82">
        <v>308</v>
      </c>
      <c r="AG82" s="1" t="s">
        <v>312</v>
      </c>
      <c r="AH82">
        <v>1</v>
      </c>
      <c r="AI82">
        <v>0.06</v>
      </c>
      <c r="AJ82" s="1" t="s">
        <v>306</v>
      </c>
      <c r="AK82">
        <v>308</v>
      </c>
      <c r="AL82" s="1" t="s">
        <v>313</v>
      </c>
      <c r="AM82">
        <v>1</v>
      </c>
      <c r="AN82">
        <v>0</v>
      </c>
      <c r="AO82" s="1" t="s">
        <v>306</v>
      </c>
      <c r="AP82">
        <v>308</v>
      </c>
      <c r="AQ82" s="1" t="s">
        <v>314</v>
      </c>
      <c r="AR82">
        <v>1</v>
      </c>
      <c r="AS82">
        <v>0.95</v>
      </c>
      <c r="AT82" s="1" t="s">
        <v>306</v>
      </c>
      <c r="AU82">
        <v>308</v>
      </c>
      <c r="AV82" s="1" t="s">
        <v>315</v>
      </c>
      <c r="AW82">
        <v>1</v>
      </c>
      <c r="AX82" t="b">
        <v>0</v>
      </c>
      <c r="AY82" s="1" t="s">
        <v>316</v>
      </c>
      <c r="AZ82">
        <v>308</v>
      </c>
      <c r="BA82" s="1" t="s">
        <v>317</v>
      </c>
    </row>
    <row r="83" spans="1:53" x14ac:dyDescent="0.25">
      <c r="A83">
        <v>146</v>
      </c>
      <c r="B83" s="1" t="s">
        <v>198</v>
      </c>
      <c r="C83">
        <v>471</v>
      </c>
      <c r="D83">
        <v>1</v>
      </c>
      <c r="E83" t="b">
        <v>0</v>
      </c>
      <c r="F83" s="1" t="s">
        <v>304</v>
      </c>
      <c r="G83" s="1" t="s">
        <v>305</v>
      </c>
      <c r="H83">
        <v>471</v>
      </c>
      <c r="I83">
        <v>1</v>
      </c>
      <c r="J83">
        <v>0.28999999999999998</v>
      </c>
      <c r="K83" s="1" t="s">
        <v>306</v>
      </c>
      <c r="L83">
        <v>471</v>
      </c>
      <c r="M83" s="1" t="s">
        <v>307</v>
      </c>
      <c r="N83">
        <v>1</v>
      </c>
      <c r="O83">
        <v>0.12</v>
      </c>
      <c r="P83" s="1" t="s">
        <v>306</v>
      </c>
      <c r="Q83">
        <v>471</v>
      </c>
      <c r="R83" s="1" t="s">
        <v>308</v>
      </c>
      <c r="S83">
        <v>1</v>
      </c>
      <c r="T83">
        <v>0.17499999999999999</v>
      </c>
      <c r="U83" s="1" t="s">
        <v>306</v>
      </c>
      <c r="V83">
        <v>471</v>
      </c>
      <c r="W83" s="1" t="s">
        <v>309</v>
      </c>
      <c r="X83">
        <v>1</v>
      </c>
      <c r="Y83">
        <v>0.03</v>
      </c>
      <c r="Z83" s="1" t="s">
        <v>306</v>
      </c>
      <c r="AA83">
        <v>471</v>
      </c>
      <c r="AB83" s="1" t="s">
        <v>310</v>
      </c>
      <c r="AC83">
        <v>1</v>
      </c>
      <c r="AD83">
        <v>11.05885</v>
      </c>
      <c r="AE83" s="1" t="s">
        <v>311</v>
      </c>
      <c r="AF83">
        <v>471</v>
      </c>
      <c r="AG83" s="1" t="s">
        <v>312</v>
      </c>
      <c r="AH83">
        <v>1</v>
      </c>
      <c r="AI83">
        <v>0.11</v>
      </c>
      <c r="AJ83" s="1" t="s">
        <v>306</v>
      </c>
      <c r="AK83">
        <v>471</v>
      </c>
      <c r="AL83" s="1" t="s">
        <v>313</v>
      </c>
      <c r="AM83">
        <v>1</v>
      </c>
      <c r="AN83">
        <v>0</v>
      </c>
      <c r="AO83" s="1" t="s">
        <v>306</v>
      </c>
      <c r="AP83">
        <v>471</v>
      </c>
      <c r="AQ83" s="1" t="s">
        <v>314</v>
      </c>
      <c r="AR83">
        <v>1</v>
      </c>
      <c r="AS83">
        <v>0.64</v>
      </c>
      <c r="AT83" s="1" t="s">
        <v>306</v>
      </c>
      <c r="AU83">
        <v>471</v>
      </c>
      <c r="AV83" s="1" t="s">
        <v>315</v>
      </c>
      <c r="AW83">
        <v>1</v>
      </c>
      <c r="AX83" t="b">
        <v>0</v>
      </c>
      <c r="AY83" s="1" t="s">
        <v>316</v>
      </c>
      <c r="AZ83">
        <v>471</v>
      </c>
      <c r="BA83" s="1" t="s">
        <v>317</v>
      </c>
    </row>
    <row r="84" spans="1:53" x14ac:dyDescent="0.25">
      <c r="A84">
        <v>179</v>
      </c>
      <c r="B84" s="1" t="s">
        <v>231</v>
      </c>
      <c r="C84">
        <v>571</v>
      </c>
      <c r="D84">
        <v>1</v>
      </c>
      <c r="E84" t="b">
        <v>0</v>
      </c>
      <c r="F84" s="1" t="s">
        <v>304</v>
      </c>
      <c r="G84" s="1" t="s">
        <v>305</v>
      </c>
      <c r="H84">
        <v>571</v>
      </c>
      <c r="I84">
        <v>1</v>
      </c>
      <c r="J84">
        <v>0.31</v>
      </c>
      <c r="K84" s="1" t="s">
        <v>306</v>
      </c>
      <c r="L84">
        <v>571</v>
      </c>
      <c r="M84" s="1" t="s">
        <v>307</v>
      </c>
      <c r="N84">
        <v>1</v>
      </c>
      <c r="O84">
        <v>0.02</v>
      </c>
      <c r="P84" s="1" t="s">
        <v>306</v>
      </c>
      <c r="Q84">
        <v>571</v>
      </c>
      <c r="R84" s="1" t="s">
        <v>308</v>
      </c>
      <c r="S84">
        <v>1</v>
      </c>
      <c r="T84">
        <v>0.18</v>
      </c>
      <c r="U84" s="1" t="s">
        <v>306</v>
      </c>
      <c r="V84">
        <v>571</v>
      </c>
      <c r="W84" s="1" t="s">
        <v>309</v>
      </c>
      <c r="X84">
        <v>1</v>
      </c>
      <c r="Y84">
        <v>0.03</v>
      </c>
      <c r="Z84" s="1" t="s">
        <v>306</v>
      </c>
      <c r="AA84">
        <v>571</v>
      </c>
      <c r="AB84" s="1" t="s">
        <v>310</v>
      </c>
      <c r="AC84">
        <v>1</v>
      </c>
      <c r="AD84">
        <v>11.12336</v>
      </c>
      <c r="AE84" s="1" t="s">
        <v>311</v>
      </c>
      <c r="AF84">
        <v>571</v>
      </c>
      <c r="AG84" s="1" t="s">
        <v>312</v>
      </c>
      <c r="AH84">
        <v>1</v>
      </c>
      <c r="AI84">
        <v>0.11</v>
      </c>
      <c r="AJ84" s="1" t="s">
        <v>306</v>
      </c>
      <c r="AK84">
        <v>571</v>
      </c>
      <c r="AL84" s="1" t="s">
        <v>313</v>
      </c>
      <c r="AM84">
        <v>1</v>
      </c>
      <c r="AN84">
        <v>0</v>
      </c>
      <c r="AO84" s="1" t="s">
        <v>306</v>
      </c>
      <c r="AP84">
        <v>571</v>
      </c>
      <c r="AQ84" s="1" t="s">
        <v>314</v>
      </c>
      <c r="AR84">
        <v>1</v>
      </c>
      <c r="AS84">
        <v>0.64</v>
      </c>
      <c r="AT84" s="1" t="s">
        <v>306</v>
      </c>
      <c r="AU84">
        <v>571</v>
      </c>
      <c r="AV84" s="1" t="s">
        <v>315</v>
      </c>
      <c r="AW84">
        <v>1</v>
      </c>
      <c r="AX84" t="b">
        <v>0</v>
      </c>
      <c r="AY84" s="1" t="s">
        <v>316</v>
      </c>
      <c r="AZ84">
        <v>571</v>
      </c>
      <c r="BA84" s="1" t="s">
        <v>317</v>
      </c>
    </row>
    <row r="85" spans="1:53" x14ac:dyDescent="0.25">
      <c r="A85">
        <v>239</v>
      </c>
      <c r="B85" s="1" t="s">
        <v>290</v>
      </c>
      <c r="C85">
        <v>743</v>
      </c>
      <c r="D85">
        <v>1</v>
      </c>
      <c r="E85" t="b">
        <v>0</v>
      </c>
      <c r="F85" s="1" t="s">
        <v>304</v>
      </c>
      <c r="G85" s="1" t="s">
        <v>305</v>
      </c>
      <c r="H85">
        <v>743</v>
      </c>
      <c r="I85">
        <v>1</v>
      </c>
      <c r="J85">
        <v>0</v>
      </c>
      <c r="K85" s="1" t="s">
        <v>306</v>
      </c>
      <c r="L85">
        <v>743</v>
      </c>
      <c r="M85" s="1" t="s">
        <v>307</v>
      </c>
      <c r="N85">
        <v>1</v>
      </c>
      <c r="P85" s="1" t="s">
        <v>306</v>
      </c>
      <c r="Q85">
        <v>743</v>
      </c>
      <c r="R85" s="1" t="s">
        <v>308</v>
      </c>
      <c r="S85">
        <v>1</v>
      </c>
      <c r="T85">
        <v>0</v>
      </c>
      <c r="U85" s="1" t="s">
        <v>306</v>
      </c>
      <c r="V85">
        <v>743</v>
      </c>
      <c r="W85" s="1" t="s">
        <v>309</v>
      </c>
      <c r="X85">
        <v>1</v>
      </c>
      <c r="Z85" s="1" t="s">
        <v>306</v>
      </c>
      <c r="AA85">
        <v>743</v>
      </c>
      <c r="AB85" s="1" t="s">
        <v>310</v>
      </c>
      <c r="AC85">
        <v>1</v>
      </c>
      <c r="AD85">
        <v>0</v>
      </c>
      <c r="AE85" s="1" t="s">
        <v>311</v>
      </c>
      <c r="AF85">
        <v>743</v>
      </c>
      <c r="AG85" s="1" t="s">
        <v>312</v>
      </c>
      <c r="AH85">
        <v>1</v>
      </c>
      <c r="AI85">
        <v>1</v>
      </c>
      <c r="AJ85" s="1" t="s">
        <v>306</v>
      </c>
      <c r="AK85">
        <v>743</v>
      </c>
      <c r="AL85" s="1" t="s">
        <v>313</v>
      </c>
      <c r="AM85">
        <v>1</v>
      </c>
      <c r="AN85">
        <v>0</v>
      </c>
      <c r="AO85" s="1" t="s">
        <v>306</v>
      </c>
      <c r="AP85">
        <v>743</v>
      </c>
      <c r="AQ85" s="1" t="s">
        <v>314</v>
      </c>
      <c r="AR85">
        <v>1</v>
      </c>
      <c r="AT85" s="1" t="s">
        <v>306</v>
      </c>
      <c r="AU85">
        <v>743</v>
      </c>
      <c r="AV85" s="1" t="s">
        <v>315</v>
      </c>
      <c r="AW85">
        <v>1</v>
      </c>
      <c r="AX85" t="b">
        <v>0</v>
      </c>
      <c r="AY85" s="1" t="s">
        <v>316</v>
      </c>
      <c r="AZ85">
        <v>743</v>
      </c>
      <c r="BA85" s="1" t="s">
        <v>317</v>
      </c>
    </row>
    <row r="86" spans="1:53" x14ac:dyDescent="0.25">
      <c r="A86">
        <v>66</v>
      </c>
      <c r="B86" s="1" t="s">
        <v>118</v>
      </c>
      <c r="C86">
        <v>262</v>
      </c>
      <c r="D86">
        <v>14.9033</v>
      </c>
      <c r="E86" t="b">
        <v>0</v>
      </c>
      <c r="F86" s="1">
        <v>262</v>
      </c>
      <c r="G86" s="1" t="s">
        <v>305</v>
      </c>
      <c r="H86">
        <v>262</v>
      </c>
      <c r="I86">
        <v>1</v>
      </c>
      <c r="J86">
        <v>6.6000000000000003E-2</v>
      </c>
      <c r="K86" s="1" t="s">
        <v>306</v>
      </c>
      <c r="L86">
        <v>262</v>
      </c>
      <c r="M86" s="1" t="s">
        <v>307</v>
      </c>
      <c r="N86">
        <v>1</v>
      </c>
      <c r="O86">
        <v>0.06</v>
      </c>
      <c r="P86" s="1" t="s">
        <v>306</v>
      </c>
      <c r="Q86">
        <v>262</v>
      </c>
      <c r="R86" s="1" t="s">
        <v>308</v>
      </c>
      <c r="S86">
        <v>1</v>
      </c>
      <c r="T86">
        <v>0.32</v>
      </c>
      <c r="U86" s="1" t="s">
        <v>306</v>
      </c>
      <c r="V86">
        <v>262</v>
      </c>
      <c r="W86" s="1" t="s">
        <v>309</v>
      </c>
      <c r="X86">
        <v>1</v>
      </c>
      <c r="Y86">
        <v>7.0000000000000007E-2</v>
      </c>
      <c r="Z86" s="1" t="s">
        <v>306</v>
      </c>
      <c r="AA86">
        <v>262</v>
      </c>
      <c r="AB86" s="1" t="s">
        <v>310</v>
      </c>
      <c r="AC86">
        <v>1</v>
      </c>
      <c r="AD86">
        <v>14.9033</v>
      </c>
      <c r="AE86" s="1" t="s">
        <v>311</v>
      </c>
      <c r="AF86">
        <v>262</v>
      </c>
      <c r="AG86" s="1" t="s">
        <v>312</v>
      </c>
      <c r="AH86">
        <v>1</v>
      </c>
      <c r="AI86">
        <v>5.6000000000000001E-2</v>
      </c>
      <c r="AJ86" s="1" t="s">
        <v>306</v>
      </c>
      <c r="AK86">
        <v>262</v>
      </c>
      <c r="AL86" s="1" t="s">
        <v>313</v>
      </c>
      <c r="AM86">
        <v>1</v>
      </c>
      <c r="AN86">
        <v>0</v>
      </c>
      <c r="AO86" s="1" t="s">
        <v>306</v>
      </c>
      <c r="AP86">
        <v>262</v>
      </c>
      <c r="AQ86" s="1" t="s">
        <v>314</v>
      </c>
      <c r="AR86">
        <v>1</v>
      </c>
      <c r="AS86">
        <v>0.74</v>
      </c>
      <c r="AT86" s="1" t="s">
        <v>306</v>
      </c>
      <c r="AU86">
        <v>262</v>
      </c>
      <c r="AV86" s="1" t="s">
        <v>315</v>
      </c>
      <c r="AW86">
        <v>1</v>
      </c>
      <c r="AX86" t="b">
        <v>0</v>
      </c>
      <c r="AY86" s="1" t="s">
        <v>316</v>
      </c>
      <c r="AZ86">
        <v>262</v>
      </c>
      <c r="BA86" s="1" t="s">
        <v>317</v>
      </c>
    </row>
    <row r="87" spans="1:53" x14ac:dyDescent="0.25">
      <c r="A87">
        <v>65</v>
      </c>
      <c r="B87" s="1" t="s">
        <v>117</v>
      </c>
      <c r="C87">
        <v>261</v>
      </c>
      <c r="D87">
        <v>14.9033</v>
      </c>
      <c r="E87" t="b">
        <v>0</v>
      </c>
      <c r="F87" s="1">
        <v>261</v>
      </c>
      <c r="G87" s="1" t="s">
        <v>305</v>
      </c>
      <c r="H87">
        <v>261</v>
      </c>
      <c r="I87">
        <v>1</v>
      </c>
      <c r="J87">
        <v>6.6000000000000003E-2</v>
      </c>
      <c r="K87" s="1" t="s">
        <v>306</v>
      </c>
      <c r="L87">
        <v>261</v>
      </c>
      <c r="M87" s="1" t="s">
        <v>307</v>
      </c>
      <c r="N87">
        <v>1</v>
      </c>
      <c r="O87">
        <v>0.06</v>
      </c>
      <c r="P87" s="1" t="s">
        <v>306</v>
      </c>
      <c r="Q87">
        <v>261</v>
      </c>
      <c r="R87" s="1" t="s">
        <v>308</v>
      </c>
      <c r="S87">
        <v>1</v>
      </c>
      <c r="T87">
        <v>0.32</v>
      </c>
      <c r="U87" s="1" t="s">
        <v>306</v>
      </c>
      <c r="V87">
        <v>261</v>
      </c>
      <c r="W87" s="1" t="s">
        <v>309</v>
      </c>
      <c r="X87">
        <v>1</v>
      </c>
      <c r="Y87">
        <v>7.0000000000000007E-2</v>
      </c>
      <c r="Z87" s="1" t="s">
        <v>306</v>
      </c>
      <c r="AA87">
        <v>261</v>
      </c>
      <c r="AB87" s="1" t="s">
        <v>310</v>
      </c>
      <c r="AC87">
        <v>1</v>
      </c>
      <c r="AD87">
        <v>14.9033</v>
      </c>
      <c r="AE87" s="1" t="s">
        <v>311</v>
      </c>
      <c r="AF87">
        <v>261</v>
      </c>
      <c r="AG87" s="1" t="s">
        <v>312</v>
      </c>
      <c r="AH87">
        <v>1</v>
      </c>
      <c r="AI87">
        <v>5.6000000000000001E-2</v>
      </c>
      <c r="AJ87" s="1" t="s">
        <v>306</v>
      </c>
      <c r="AK87">
        <v>261</v>
      </c>
      <c r="AL87" s="1" t="s">
        <v>313</v>
      </c>
      <c r="AM87">
        <v>1</v>
      </c>
      <c r="AN87">
        <v>0</v>
      </c>
      <c r="AO87" s="1" t="s">
        <v>306</v>
      </c>
      <c r="AP87">
        <v>261</v>
      </c>
      <c r="AQ87" s="1" t="s">
        <v>314</v>
      </c>
      <c r="AR87">
        <v>1</v>
      </c>
      <c r="AS87">
        <v>0.74</v>
      </c>
      <c r="AT87" s="1" t="s">
        <v>306</v>
      </c>
      <c r="AU87">
        <v>261</v>
      </c>
      <c r="AV87" s="1" t="s">
        <v>315</v>
      </c>
      <c r="AW87">
        <v>1</v>
      </c>
      <c r="AX87" t="b">
        <v>0</v>
      </c>
      <c r="AY87" s="1" t="s">
        <v>316</v>
      </c>
      <c r="AZ87">
        <v>261</v>
      </c>
      <c r="BA87" s="1" t="s">
        <v>317</v>
      </c>
    </row>
    <row r="88" spans="1:53" x14ac:dyDescent="0.25">
      <c r="A88">
        <v>175</v>
      </c>
      <c r="B88" s="1" t="s">
        <v>227</v>
      </c>
      <c r="C88">
        <v>564</v>
      </c>
      <c r="D88">
        <v>1</v>
      </c>
      <c r="E88" t="b">
        <v>1</v>
      </c>
      <c r="F88" s="1" t="s">
        <v>304</v>
      </c>
      <c r="G88" s="1" t="s">
        <v>305</v>
      </c>
      <c r="H88">
        <v>564</v>
      </c>
      <c r="I88">
        <v>1</v>
      </c>
      <c r="J88">
        <v>0.253</v>
      </c>
      <c r="K88" s="1" t="s">
        <v>306</v>
      </c>
      <c r="L88">
        <v>564</v>
      </c>
      <c r="M88" s="1" t="s">
        <v>307</v>
      </c>
      <c r="N88">
        <v>1</v>
      </c>
      <c r="O88">
        <v>4.4999999999999998E-2</v>
      </c>
      <c r="P88" s="1" t="s">
        <v>306</v>
      </c>
      <c r="Q88">
        <v>564</v>
      </c>
      <c r="R88" s="1" t="s">
        <v>308</v>
      </c>
      <c r="S88">
        <v>1</v>
      </c>
      <c r="T88">
        <v>0.16500000000000001</v>
      </c>
      <c r="U88" s="1" t="s">
        <v>306</v>
      </c>
      <c r="V88">
        <v>564</v>
      </c>
      <c r="W88" s="1" t="s">
        <v>309</v>
      </c>
      <c r="X88">
        <v>1</v>
      </c>
      <c r="Y88">
        <v>4.5999999999999999E-2</v>
      </c>
      <c r="Z88" s="1" t="s">
        <v>306</v>
      </c>
      <c r="AA88">
        <v>564</v>
      </c>
      <c r="AB88" s="1" t="s">
        <v>310</v>
      </c>
      <c r="AC88">
        <v>1</v>
      </c>
      <c r="AD88">
        <v>13.470739999999999</v>
      </c>
      <c r="AE88" s="1" t="s">
        <v>311</v>
      </c>
      <c r="AF88">
        <v>564</v>
      </c>
      <c r="AG88" s="1" t="s">
        <v>312</v>
      </c>
      <c r="AH88">
        <v>1</v>
      </c>
      <c r="AI88">
        <v>0.10199999999999999</v>
      </c>
      <c r="AJ88" s="1" t="s">
        <v>306</v>
      </c>
      <c r="AK88">
        <v>564</v>
      </c>
      <c r="AL88" s="1" t="s">
        <v>313</v>
      </c>
      <c r="AM88">
        <v>1</v>
      </c>
      <c r="AN88">
        <v>0</v>
      </c>
      <c r="AO88" s="1" t="s">
        <v>306</v>
      </c>
      <c r="AP88">
        <v>564</v>
      </c>
      <c r="AQ88" s="1" t="s">
        <v>314</v>
      </c>
      <c r="AR88">
        <v>1</v>
      </c>
      <c r="AS88">
        <v>0.77500000000000002</v>
      </c>
      <c r="AT88" s="1" t="s">
        <v>306</v>
      </c>
      <c r="AU88">
        <v>564</v>
      </c>
      <c r="AV88" s="1" t="s">
        <v>315</v>
      </c>
      <c r="AW88">
        <v>1</v>
      </c>
      <c r="AX88" t="b">
        <v>0</v>
      </c>
      <c r="AY88" s="1" t="s">
        <v>316</v>
      </c>
      <c r="AZ88">
        <v>564</v>
      </c>
      <c r="BA88" s="1" t="s">
        <v>317</v>
      </c>
    </row>
    <row r="89" spans="1:53" x14ac:dyDescent="0.25">
      <c r="A89">
        <v>177</v>
      </c>
      <c r="B89" s="1" t="s">
        <v>229</v>
      </c>
      <c r="C89">
        <v>566</v>
      </c>
      <c r="D89">
        <v>1</v>
      </c>
      <c r="E89" t="b">
        <v>1</v>
      </c>
      <c r="F89" s="1" t="s">
        <v>304</v>
      </c>
      <c r="G89" s="1" t="s">
        <v>305</v>
      </c>
      <c r="H89">
        <v>566</v>
      </c>
      <c r="I89">
        <v>1</v>
      </c>
      <c r="J89">
        <v>0.31</v>
      </c>
      <c r="K89" s="1" t="s">
        <v>306</v>
      </c>
      <c r="L89">
        <v>566</v>
      </c>
      <c r="M89" s="1" t="s">
        <v>307</v>
      </c>
      <c r="N89">
        <v>1</v>
      </c>
      <c r="O89">
        <v>3.6999999999999998E-2</v>
      </c>
      <c r="P89" s="1" t="s">
        <v>306</v>
      </c>
      <c r="Q89">
        <v>566</v>
      </c>
      <c r="R89" s="1" t="s">
        <v>308</v>
      </c>
      <c r="S89">
        <v>1</v>
      </c>
      <c r="T89">
        <v>0.13300000000000001</v>
      </c>
      <c r="U89" s="1" t="s">
        <v>306</v>
      </c>
      <c r="V89">
        <v>566</v>
      </c>
      <c r="W89" s="1" t="s">
        <v>309</v>
      </c>
      <c r="X89">
        <v>1</v>
      </c>
      <c r="Y89">
        <v>4.2000000000000003E-2</v>
      </c>
      <c r="Z89" s="1" t="s">
        <v>306</v>
      </c>
      <c r="AA89">
        <v>566</v>
      </c>
      <c r="AB89" s="1" t="s">
        <v>310</v>
      </c>
      <c r="AC89">
        <v>1</v>
      </c>
      <c r="AD89">
        <v>11.59437</v>
      </c>
      <c r="AE89" s="1" t="s">
        <v>311</v>
      </c>
      <c r="AF89">
        <v>566</v>
      </c>
      <c r="AG89" s="1" t="s">
        <v>312</v>
      </c>
      <c r="AH89">
        <v>1</v>
      </c>
      <c r="AI89">
        <v>9.2999999999999999E-2</v>
      </c>
      <c r="AJ89" s="1" t="s">
        <v>306</v>
      </c>
      <c r="AK89">
        <v>566</v>
      </c>
      <c r="AL89" s="1" t="s">
        <v>313</v>
      </c>
      <c r="AM89">
        <v>1</v>
      </c>
      <c r="AN89">
        <v>0</v>
      </c>
      <c r="AO89" s="1" t="s">
        <v>306</v>
      </c>
      <c r="AP89">
        <v>566</v>
      </c>
      <c r="AQ89" s="1" t="s">
        <v>314</v>
      </c>
      <c r="AR89">
        <v>1</v>
      </c>
      <c r="AS89">
        <v>0.66500000000000004</v>
      </c>
      <c r="AT89" s="1" t="s">
        <v>306</v>
      </c>
      <c r="AU89">
        <v>566</v>
      </c>
      <c r="AV89" s="1" t="s">
        <v>315</v>
      </c>
      <c r="AW89">
        <v>1</v>
      </c>
      <c r="AX89" t="b">
        <v>0</v>
      </c>
      <c r="AY89" s="1" t="s">
        <v>316</v>
      </c>
      <c r="AZ89">
        <v>566</v>
      </c>
      <c r="BA89" s="1" t="s">
        <v>317</v>
      </c>
    </row>
    <row r="90" spans="1:53" x14ac:dyDescent="0.25">
      <c r="A90">
        <v>176</v>
      </c>
      <c r="B90" s="1" t="s">
        <v>228</v>
      </c>
      <c r="C90">
        <v>565</v>
      </c>
      <c r="D90">
        <v>1</v>
      </c>
      <c r="E90" t="b">
        <v>1</v>
      </c>
      <c r="F90" s="1" t="s">
        <v>304</v>
      </c>
      <c r="G90" s="1" t="s">
        <v>305</v>
      </c>
      <c r="H90">
        <v>565</v>
      </c>
      <c r="I90">
        <v>1</v>
      </c>
      <c r="J90">
        <v>0.28199999999999997</v>
      </c>
      <c r="K90" s="1" t="s">
        <v>306</v>
      </c>
      <c r="L90">
        <v>565</v>
      </c>
      <c r="M90" s="1" t="s">
        <v>307</v>
      </c>
      <c r="N90">
        <v>1</v>
      </c>
      <c r="O90">
        <v>4.2999999999999997E-2</v>
      </c>
      <c r="P90" s="1" t="s">
        <v>306</v>
      </c>
      <c r="Q90">
        <v>565</v>
      </c>
      <c r="R90" s="1" t="s">
        <v>308</v>
      </c>
      <c r="S90">
        <v>1</v>
      </c>
      <c r="T90">
        <v>0.152</v>
      </c>
      <c r="U90" s="1" t="s">
        <v>306</v>
      </c>
      <c r="V90">
        <v>565</v>
      </c>
      <c r="W90" s="1" t="s">
        <v>309</v>
      </c>
      <c r="X90">
        <v>1</v>
      </c>
      <c r="Y90">
        <v>4.3999999999999997E-2</v>
      </c>
      <c r="Z90" s="1" t="s">
        <v>306</v>
      </c>
      <c r="AA90">
        <v>565</v>
      </c>
      <c r="AB90" s="1" t="s">
        <v>310</v>
      </c>
      <c r="AC90">
        <v>1</v>
      </c>
      <c r="AD90">
        <v>12.627980000000001</v>
      </c>
      <c r="AE90" s="1" t="s">
        <v>311</v>
      </c>
      <c r="AF90">
        <v>565</v>
      </c>
      <c r="AG90" s="1" t="s">
        <v>312</v>
      </c>
      <c r="AH90">
        <v>1</v>
      </c>
      <c r="AI90">
        <v>9.8000000000000004E-2</v>
      </c>
      <c r="AJ90" s="1" t="s">
        <v>306</v>
      </c>
      <c r="AK90">
        <v>565</v>
      </c>
      <c r="AL90" s="1" t="s">
        <v>313</v>
      </c>
      <c r="AM90">
        <v>1</v>
      </c>
      <c r="AN90">
        <v>0</v>
      </c>
      <c r="AO90" s="1" t="s">
        <v>306</v>
      </c>
      <c r="AP90">
        <v>565</v>
      </c>
      <c r="AQ90" s="1" t="s">
        <v>314</v>
      </c>
      <c r="AR90">
        <v>1</v>
      </c>
      <c r="AS90">
        <v>0.72499999999999998</v>
      </c>
      <c r="AT90" s="1" t="s">
        <v>306</v>
      </c>
      <c r="AU90">
        <v>565</v>
      </c>
      <c r="AV90" s="1" t="s">
        <v>315</v>
      </c>
      <c r="AW90">
        <v>1</v>
      </c>
      <c r="AX90" t="b">
        <v>0</v>
      </c>
      <c r="AY90" s="1" t="s">
        <v>316</v>
      </c>
      <c r="AZ90">
        <v>565</v>
      </c>
      <c r="BA90" s="1" t="s">
        <v>317</v>
      </c>
    </row>
    <row r="91" spans="1:53" x14ac:dyDescent="0.25">
      <c r="A91">
        <v>178</v>
      </c>
      <c r="B91" s="1" t="s">
        <v>230</v>
      </c>
      <c r="C91">
        <v>570</v>
      </c>
      <c r="D91">
        <v>1</v>
      </c>
      <c r="E91" t="b">
        <v>1</v>
      </c>
      <c r="F91" s="1" t="s">
        <v>304</v>
      </c>
      <c r="G91" s="1" t="s">
        <v>305</v>
      </c>
      <c r="H91">
        <v>570</v>
      </c>
      <c r="I91">
        <v>1</v>
      </c>
      <c r="J91">
        <v>0.32100000000000001</v>
      </c>
      <c r="K91" s="1" t="s">
        <v>306</v>
      </c>
      <c r="L91">
        <v>570</v>
      </c>
      <c r="M91" s="1" t="s">
        <v>307</v>
      </c>
      <c r="N91">
        <v>1</v>
      </c>
      <c r="O91">
        <v>3.5000000000000003E-2</v>
      </c>
      <c r="P91" s="1" t="s">
        <v>306</v>
      </c>
      <c r="Q91">
        <v>570</v>
      </c>
      <c r="R91" s="1" t="s">
        <v>308</v>
      </c>
      <c r="S91">
        <v>1</v>
      </c>
      <c r="T91">
        <v>0.122</v>
      </c>
      <c r="U91" s="1" t="s">
        <v>306</v>
      </c>
      <c r="V91">
        <v>570</v>
      </c>
      <c r="W91" s="1" t="s">
        <v>309</v>
      </c>
      <c r="X91">
        <v>1</v>
      </c>
      <c r="Y91">
        <v>0.04</v>
      </c>
      <c r="Z91" s="1" t="s">
        <v>306</v>
      </c>
      <c r="AA91">
        <v>570</v>
      </c>
      <c r="AB91" s="1" t="s">
        <v>310</v>
      </c>
      <c r="AC91">
        <v>1</v>
      </c>
      <c r="AD91">
        <v>10.827920000000001</v>
      </c>
      <c r="AE91" s="1" t="s">
        <v>311</v>
      </c>
      <c r="AF91">
        <v>570</v>
      </c>
      <c r="AG91" s="1" t="s">
        <v>312</v>
      </c>
      <c r="AH91">
        <v>1</v>
      </c>
      <c r="AI91">
        <v>8.8999999999999996E-2</v>
      </c>
      <c r="AJ91" s="1" t="s">
        <v>306</v>
      </c>
      <c r="AK91">
        <v>570</v>
      </c>
      <c r="AL91" s="1" t="s">
        <v>313</v>
      </c>
      <c r="AM91">
        <v>1</v>
      </c>
      <c r="AN91">
        <v>0</v>
      </c>
      <c r="AO91" s="1" t="s">
        <v>306</v>
      </c>
      <c r="AP91">
        <v>570</v>
      </c>
      <c r="AQ91" s="1" t="s">
        <v>314</v>
      </c>
      <c r="AR91">
        <v>1</v>
      </c>
      <c r="AS91">
        <v>0.62</v>
      </c>
      <c r="AT91" s="1" t="s">
        <v>306</v>
      </c>
      <c r="AU91">
        <v>570</v>
      </c>
      <c r="AV91" s="1" t="s">
        <v>315</v>
      </c>
      <c r="AW91">
        <v>1</v>
      </c>
      <c r="AX91" t="b">
        <v>0</v>
      </c>
      <c r="AY91" s="1" t="s">
        <v>316</v>
      </c>
      <c r="AZ91">
        <v>570</v>
      </c>
      <c r="BA91" s="1" t="s">
        <v>317</v>
      </c>
    </row>
    <row r="92" spans="1:53" x14ac:dyDescent="0.25">
      <c r="A92">
        <v>212</v>
      </c>
      <c r="B92" s="1" t="s">
        <v>264</v>
      </c>
      <c r="C92">
        <v>665</v>
      </c>
      <c r="D92">
        <v>1</v>
      </c>
      <c r="E92" t="b">
        <v>1</v>
      </c>
      <c r="F92" s="1" t="s">
        <v>304</v>
      </c>
      <c r="G92" s="1" t="s">
        <v>305</v>
      </c>
      <c r="H92">
        <v>665</v>
      </c>
      <c r="I92">
        <v>1</v>
      </c>
      <c r="J92">
        <v>0.31</v>
      </c>
      <c r="K92" s="1" t="s">
        <v>306</v>
      </c>
      <c r="L92">
        <v>665</v>
      </c>
      <c r="M92" s="1" t="s">
        <v>307</v>
      </c>
      <c r="N92">
        <v>1</v>
      </c>
      <c r="O92">
        <v>0.08</v>
      </c>
      <c r="P92" s="1" t="s">
        <v>306</v>
      </c>
      <c r="Q92">
        <v>665</v>
      </c>
      <c r="R92" s="1" t="s">
        <v>308</v>
      </c>
      <c r="S92">
        <v>1</v>
      </c>
      <c r="T92">
        <v>0.121</v>
      </c>
      <c r="U92" s="1" t="s">
        <v>306</v>
      </c>
      <c r="V92">
        <v>665</v>
      </c>
      <c r="W92" s="1" t="s">
        <v>309</v>
      </c>
      <c r="X92">
        <v>1</v>
      </c>
      <c r="Y92">
        <v>2.5999999999999999E-2</v>
      </c>
      <c r="Z92" s="1" t="s">
        <v>306</v>
      </c>
      <c r="AA92">
        <v>665</v>
      </c>
      <c r="AB92" s="1" t="s">
        <v>310</v>
      </c>
      <c r="AC92">
        <v>1</v>
      </c>
      <c r="AD92">
        <v>11.20321</v>
      </c>
      <c r="AE92" s="1" t="s">
        <v>311</v>
      </c>
      <c r="AF92">
        <v>665</v>
      </c>
      <c r="AG92" s="1" t="s">
        <v>312</v>
      </c>
      <c r="AH92">
        <v>1</v>
      </c>
      <c r="AI92">
        <v>7.6999999999999999E-2</v>
      </c>
      <c r="AJ92" s="1" t="s">
        <v>306</v>
      </c>
      <c r="AK92">
        <v>665</v>
      </c>
      <c r="AL92" s="1" t="s">
        <v>313</v>
      </c>
      <c r="AM92">
        <v>1</v>
      </c>
      <c r="AN92">
        <v>0</v>
      </c>
      <c r="AO92" s="1" t="s">
        <v>306</v>
      </c>
      <c r="AP92">
        <v>665</v>
      </c>
      <c r="AQ92" s="1" t="s">
        <v>314</v>
      </c>
      <c r="AR92">
        <v>1</v>
      </c>
      <c r="AS92">
        <v>0.65</v>
      </c>
      <c r="AT92" s="1" t="s">
        <v>306</v>
      </c>
      <c r="AU92">
        <v>665</v>
      </c>
      <c r="AV92" s="1" t="s">
        <v>315</v>
      </c>
      <c r="AW92">
        <v>1</v>
      </c>
      <c r="AX92" t="b">
        <v>0</v>
      </c>
      <c r="AY92" s="1" t="s">
        <v>316</v>
      </c>
      <c r="AZ92">
        <v>665</v>
      </c>
      <c r="BA92" s="1" t="s">
        <v>317</v>
      </c>
    </row>
    <row r="93" spans="1:53" x14ac:dyDescent="0.25">
      <c r="A93">
        <v>223</v>
      </c>
      <c r="B93" s="1" t="s">
        <v>274</v>
      </c>
      <c r="C93">
        <v>705</v>
      </c>
      <c r="D93">
        <v>1</v>
      </c>
      <c r="E93" t="b">
        <v>0</v>
      </c>
      <c r="F93" s="1" t="s">
        <v>304</v>
      </c>
      <c r="G93" s="1" t="s">
        <v>305</v>
      </c>
      <c r="H93">
        <v>705</v>
      </c>
      <c r="I93">
        <v>1</v>
      </c>
      <c r="J93">
        <v>0.24</v>
      </c>
      <c r="K93" s="1" t="s">
        <v>306</v>
      </c>
      <c r="L93">
        <v>705</v>
      </c>
      <c r="M93" s="1" t="s">
        <v>307</v>
      </c>
      <c r="N93">
        <v>1</v>
      </c>
      <c r="O93">
        <v>0.13</v>
      </c>
      <c r="P93" s="1" t="s">
        <v>306</v>
      </c>
      <c r="Q93">
        <v>705</v>
      </c>
      <c r="R93" s="1" t="s">
        <v>308</v>
      </c>
      <c r="S93">
        <v>1</v>
      </c>
      <c r="T93">
        <v>0.18</v>
      </c>
      <c r="U93" s="1" t="s">
        <v>306</v>
      </c>
      <c r="V93">
        <v>705</v>
      </c>
      <c r="W93" s="1" t="s">
        <v>309</v>
      </c>
      <c r="X93">
        <v>1</v>
      </c>
      <c r="Y93">
        <v>3.6999999999999998E-2</v>
      </c>
      <c r="Z93" s="1" t="s">
        <v>306</v>
      </c>
      <c r="AA93">
        <v>705</v>
      </c>
      <c r="AB93" s="1" t="s">
        <v>310</v>
      </c>
      <c r="AC93">
        <v>1</v>
      </c>
      <c r="AD93">
        <v>12.93228</v>
      </c>
      <c r="AE93" s="1" t="s">
        <v>311</v>
      </c>
      <c r="AF93">
        <v>705</v>
      </c>
      <c r="AG93" s="1" t="s">
        <v>312</v>
      </c>
      <c r="AH93">
        <v>1</v>
      </c>
      <c r="AI93">
        <v>0.1</v>
      </c>
      <c r="AJ93" s="1" t="s">
        <v>306</v>
      </c>
      <c r="AK93">
        <v>705</v>
      </c>
      <c r="AL93" s="1" t="s">
        <v>313</v>
      </c>
      <c r="AM93">
        <v>1</v>
      </c>
      <c r="AN93">
        <v>0</v>
      </c>
      <c r="AO93" s="1" t="s">
        <v>306</v>
      </c>
      <c r="AP93">
        <v>705</v>
      </c>
      <c r="AQ93" s="1" t="s">
        <v>314</v>
      </c>
      <c r="AR93">
        <v>1</v>
      </c>
      <c r="AS93">
        <v>0.75</v>
      </c>
      <c r="AT93" s="1" t="s">
        <v>306</v>
      </c>
      <c r="AU93">
        <v>705</v>
      </c>
      <c r="AV93" s="1" t="s">
        <v>315</v>
      </c>
      <c r="AW93">
        <v>1</v>
      </c>
      <c r="AX93" t="b">
        <v>0</v>
      </c>
      <c r="AY93" s="1" t="s">
        <v>316</v>
      </c>
      <c r="AZ93">
        <v>705</v>
      </c>
      <c r="BA93" s="1" t="s">
        <v>317</v>
      </c>
    </row>
    <row r="94" spans="1:53" x14ac:dyDescent="0.25">
      <c r="A94">
        <v>224</v>
      </c>
      <c r="B94" s="1" t="s">
        <v>275</v>
      </c>
      <c r="C94">
        <v>706</v>
      </c>
      <c r="D94">
        <v>1</v>
      </c>
      <c r="E94" t="b">
        <v>0</v>
      </c>
      <c r="F94" s="1" t="s">
        <v>304</v>
      </c>
      <c r="G94" s="1" t="s">
        <v>305</v>
      </c>
      <c r="H94">
        <v>706</v>
      </c>
      <c r="I94">
        <v>1</v>
      </c>
      <c r="J94">
        <v>0.255</v>
      </c>
      <c r="K94" s="1" t="s">
        <v>306</v>
      </c>
      <c r="L94">
        <v>706</v>
      </c>
      <c r="M94" s="1" t="s">
        <v>307</v>
      </c>
      <c r="N94">
        <v>1</v>
      </c>
      <c r="O94">
        <v>0.08</v>
      </c>
      <c r="P94" s="1" t="s">
        <v>306</v>
      </c>
      <c r="Q94">
        <v>706</v>
      </c>
      <c r="R94" s="1" t="s">
        <v>308</v>
      </c>
      <c r="S94">
        <v>1</v>
      </c>
      <c r="T94">
        <v>0.18</v>
      </c>
      <c r="U94" s="1" t="s">
        <v>306</v>
      </c>
      <c r="V94">
        <v>706</v>
      </c>
      <c r="W94" s="1" t="s">
        <v>309</v>
      </c>
      <c r="X94">
        <v>1</v>
      </c>
      <c r="Y94">
        <v>3.4000000000000002E-2</v>
      </c>
      <c r="Z94" s="1" t="s">
        <v>306</v>
      </c>
      <c r="AA94">
        <v>706</v>
      </c>
      <c r="AB94" s="1" t="s">
        <v>310</v>
      </c>
      <c r="AC94">
        <v>1</v>
      </c>
      <c r="AD94">
        <v>11.984249999999999</v>
      </c>
      <c r="AE94" s="1" t="s">
        <v>311</v>
      </c>
      <c r="AF94">
        <v>706</v>
      </c>
      <c r="AG94" s="1" t="s">
        <v>312</v>
      </c>
      <c r="AH94">
        <v>1</v>
      </c>
      <c r="AI94">
        <v>0.11</v>
      </c>
      <c r="AJ94" s="1" t="s">
        <v>306</v>
      </c>
      <c r="AK94">
        <v>706</v>
      </c>
      <c r="AL94" s="1" t="s">
        <v>313</v>
      </c>
      <c r="AM94">
        <v>1</v>
      </c>
      <c r="AN94">
        <v>0</v>
      </c>
      <c r="AO94" s="1" t="s">
        <v>306</v>
      </c>
      <c r="AP94">
        <v>706</v>
      </c>
      <c r="AQ94" s="1" t="s">
        <v>314</v>
      </c>
      <c r="AR94">
        <v>1</v>
      </c>
      <c r="AS94">
        <v>0.7</v>
      </c>
      <c r="AT94" s="1" t="s">
        <v>306</v>
      </c>
      <c r="AU94">
        <v>706</v>
      </c>
      <c r="AV94" s="1" t="s">
        <v>315</v>
      </c>
      <c r="AW94">
        <v>1</v>
      </c>
      <c r="AX94" t="b">
        <v>0</v>
      </c>
      <c r="AY94" s="1" t="s">
        <v>316</v>
      </c>
      <c r="AZ94">
        <v>706</v>
      </c>
      <c r="BA94" s="1" t="s">
        <v>317</v>
      </c>
    </row>
    <row r="95" spans="1:53" x14ac:dyDescent="0.25">
      <c r="A95">
        <v>225</v>
      </c>
      <c r="B95" s="1" t="s">
        <v>276</v>
      </c>
      <c r="C95">
        <v>707</v>
      </c>
      <c r="D95">
        <v>1</v>
      </c>
      <c r="E95" t="b">
        <v>0</v>
      </c>
      <c r="F95" s="1" t="s">
        <v>304</v>
      </c>
      <c r="G95" s="1" t="s">
        <v>305</v>
      </c>
      <c r="H95">
        <v>707</v>
      </c>
      <c r="I95">
        <v>1</v>
      </c>
      <c r="J95">
        <v>0.28499999999999998</v>
      </c>
      <c r="K95" s="1" t="s">
        <v>306</v>
      </c>
      <c r="L95">
        <v>707</v>
      </c>
      <c r="M95" s="1" t="s">
        <v>307</v>
      </c>
      <c r="N95">
        <v>1</v>
      </c>
      <c r="O95">
        <v>0.06</v>
      </c>
      <c r="P95" s="1" t="s">
        <v>306</v>
      </c>
      <c r="Q95">
        <v>707</v>
      </c>
      <c r="R95" s="1" t="s">
        <v>308</v>
      </c>
      <c r="S95">
        <v>1</v>
      </c>
      <c r="T95">
        <v>0.17</v>
      </c>
      <c r="U95" s="1" t="s">
        <v>306</v>
      </c>
      <c r="V95">
        <v>707</v>
      </c>
      <c r="W95" s="1" t="s">
        <v>309</v>
      </c>
      <c r="X95">
        <v>1</v>
      </c>
      <c r="Y95">
        <v>3.1E-2</v>
      </c>
      <c r="Z95" s="1" t="s">
        <v>306</v>
      </c>
      <c r="AA95">
        <v>707</v>
      </c>
      <c r="AB95" s="1" t="s">
        <v>310</v>
      </c>
      <c r="AC95">
        <v>1</v>
      </c>
      <c r="AD95">
        <v>11.10291</v>
      </c>
      <c r="AE95" s="1" t="s">
        <v>311</v>
      </c>
      <c r="AF95">
        <v>707</v>
      </c>
      <c r="AG95" s="1" t="s">
        <v>312</v>
      </c>
      <c r="AH95">
        <v>1</v>
      </c>
      <c r="AI95">
        <v>0.11</v>
      </c>
      <c r="AJ95" s="1" t="s">
        <v>306</v>
      </c>
      <c r="AK95">
        <v>707</v>
      </c>
      <c r="AL95" s="1" t="s">
        <v>313</v>
      </c>
      <c r="AM95">
        <v>1</v>
      </c>
      <c r="AN95">
        <v>0</v>
      </c>
      <c r="AO95" s="1" t="s">
        <v>306</v>
      </c>
      <c r="AP95">
        <v>707</v>
      </c>
      <c r="AQ95" s="1" t="s">
        <v>314</v>
      </c>
      <c r="AR95">
        <v>1</v>
      </c>
      <c r="AS95">
        <v>0.65</v>
      </c>
      <c r="AT95" s="1" t="s">
        <v>306</v>
      </c>
      <c r="AU95">
        <v>707</v>
      </c>
      <c r="AV95" s="1" t="s">
        <v>315</v>
      </c>
      <c r="AW95">
        <v>1</v>
      </c>
      <c r="AX95" t="b">
        <v>0</v>
      </c>
      <c r="AY95" s="1" t="s">
        <v>316</v>
      </c>
      <c r="AZ95">
        <v>707</v>
      </c>
      <c r="BA95" s="1" t="s">
        <v>317</v>
      </c>
    </row>
    <row r="96" spans="1:53" x14ac:dyDescent="0.25">
      <c r="A96">
        <v>144</v>
      </c>
      <c r="B96" s="1" t="s">
        <v>196</v>
      </c>
      <c r="C96">
        <v>465</v>
      </c>
      <c r="D96">
        <v>1</v>
      </c>
      <c r="E96" t="b">
        <v>1</v>
      </c>
      <c r="F96" s="1" t="s">
        <v>304</v>
      </c>
      <c r="G96" s="1" t="s">
        <v>305</v>
      </c>
      <c r="H96">
        <v>465</v>
      </c>
      <c r="I96">
        <v>1</v>
      </c>
      <c r="J96">
        <v>0.21</v>
      </c>
      <c r="K96" s="1" t="s">
        <v>306</v>
      </c>
      <c r="L96">
        <v>465</v>
      </c>
      <c r="M96" s="1" t="s">
        <v>307</v>
      </c>
      <c r="N96">
        <v>1</v>
      </c>
      <c r="O96">
        <v>0.13</v>
      </c>
      <c r="P96" s="1" t="s">
        <v>306</v>
      </c>
      <c r="Q96">
        <v>465</v>
      </c>
      <c r="R96" s="1" t="s">
        <v>308</v>
      </c>
      <c r="S96">
        <v>1</v>
      </c>
      <c r="T96">
        <v>0.21</v>
      </c>
      <c r="U96" s="1" t="s">
        <v>306</v>
      </c>
      <c r="V96">
        <v>465</v>
      </c>
      <c r="W96" s="1" t="s">
        <v>309</v>
      </c>
      <c r="X96">
        <v>1</v>
      </c>
      <c r="Y96">
        <v>3.9E-2</v>
      </c>
      <c r="Z96" s="1" t="s">
        <v>306</v>
      </c>
      <c r="AA96">
        <v>465</v>
      </c>
      <c r="AB96" s="1" t="s">
        <v>310</v>
      </c>
      <c r="AC96">
        <v>1</v>
      </c>
      <c r="AD96">
        <v>13.990410000000001</v>
      </c>
      <c r="AE96" s="1" t="s">
        <v>311</v>
      </c>
      <c r="AF96">
        <v>465</v>
      </c>
      <c r="AG96" s="1" t="s">
        <v>312</v>
      </c>
      <c r="AH96">
        <v>1</v>
      </c>
      <c r="AI96">
        <v>9.4E-2</v>
      </c>
      <c r="AJ96" s="1" t="s">
        <v>306</v>
      </c>
      <c r="AK96">
        <v>465</v>
      </c>
      <c r="AL96" s="1" t="s">
        <v>313</v>
      </c>
      <c r="AM96">
        <v>1</v>
      </c>
      <c r="AN96">
        <v>0</v>
      </c>
      <c r="AO96" s="1" t="s">
        <v>306</v>
      </c>
      <c r="AP96">
        <v>465</v>
      </c>
      <c r="AQ96" s="1" t="s">
        <v>314</v>
      </c>
      <c r="AR96">
        <v>1</v>
      </c>
      <c r="AS96">
        <v>0.79</v>
      </c>
      <c r="AT96" s="1" t="s">
        <v>306</v>
      </c>
      <c r="AU96">
        <v>465</v>
      </c>
      <c r="AV96" s="1" t="s">
        <v>315</v>
      </c>
      <c r="AW96">
        <v>1</v>
      </c>
      <c r="AX96" t="b">
        <v>0</v>
      </c>
      <c r="AY96" s="1" t="s">
        <v>316</v>
      </c>
      <c r="AZ96">
        <v>465</v>
      </c>
      <c r="BA96" s="1" t="s">
        <v>317</v>
      </c>
    </row>
    <row r="97" spans="1:53" x14ac:dyDescent="0.25">
      <c r="A97">
        <v>145</v>
      </c>
      <c r="B97" s="1" t="s">
        <v>197</v>
      </c>
      <c r="C97">
        <v>466</v>
      </c>
      <c r="D97">
        <v>1</v>
      </c>
      <c r="E97" t="b">
        <v>1</v>
      </c>
      <c r="F97" s="1" t="s">
        <v>304</v>
      </c>
      <c r="G97" s="1" t="s">
        <v>305</v>
      </c>
      <c r="H97">
        <v>466</v>
      </c>
      <c r="I97">
        <v>1</v>
      </c>
      <c r="J97">
        <v>0.23</v>
      </c>
      <c r="K97" s="1" t="s">
        <v>306</v>
      </c>
      <c r="L97">
        <v>466</v>
      </c>
      <c r="M97" s="1" t="s">
        <v>307</v>
      </c>
      <c r="N97">
        <v>1</v>
      </c>
      <c r="O97">
        <v>0.13</v>
      </c>
      <c r="P97" s="1" t="s">
        <v>306</v>
      </c>
      <c r="Q97">
        <v>466</v>
      </c>
      <c r="R97" s="1" t="s">
        <v>308</v>
      </c>
      <c r="S97">
        <v>1</v>
      </c>
      <c r="T97">
        <v>0.19</v>
      </c>
      <c r="U97" s="1" t="s">
        <v>306</v>
      </c>
      <c r="V97">
        <v>466</v>
      </c>
      <c r="W97" s="1" t="s">
        <v>309</v>
      </c>
      <c r="X97">
        <v>1</v>
      </c>
      <c r="Y97">
        <v>3.6999999999999998E-2</v>
      </c>
      <c r="Z97" s="1" t="s">
        <v>306</v>
      </c>
      <c r="AA97">
        <v>466</v>
      </c>
      <c r="AB97" s="1" t="s">
        <v>310</v>
      </c>
      <c r="AC97">
        <v>1</v>
      </c>
      <c r="AD97">
        <v>13.51562</v>
      </c>
      <c r="AE97" s="1" t="s">
        <v>311</v>
      </c>
      <c r="AF97">
        <v>466</v>
      </c>
      <c r="AG97" s="1" t="s">
        <v>312</v>
      </c>
      <c r="AH97">
        <v>1</v>
      </c>
      <c r="AI97">
        <v>9.4E-2</v>
      </c>
      <c r="AJ97" s="1" t="s">
        <v>306</v>
      </c>
      <c r="AK97">
        <v>466</v>
      </c>
      <c r="AL97" s="1" t="s">
        <v>313</v>
      </c>
      <c r="AM97">
        <v>1</v>
      </c>
      <c r="AN97">
        <v>0</v>
      </c>
      <c r="AO97" s="1" t="s">
        <v>306</v>
      </c>
      <c r="AP97">
        <v>466</v>
      </c>
      <c r="AQ97" s="1" t="s">
        <v>314</v>
      </c>
      <c r="AR97">
        <v>1</v>
      </c>
      <c r="AS97">
        <v>0.77</v>
      </c>
      <c r="AT97" s="1" t="s">
        <v>306</v>
      </c>
      <c r="AU97">
        <v>466</v>
      </c>
      <c r="AV97" s="1" t="s">
        <v>315</v>
      </c>
      <c r="AW97">
        <v>1</v>
      </c>
      <c r="AX97" t="b">
        <v>0</v>
      </c>
      <c r="AY97" s="1" t="s">
        <v>316</v>
      </c>
      <c r="AZ97">
        <v>466</v>
      </c>
      <c r="BA97" s="1" t="s">
        <v>317</v>
      </c>
    </row>
    <row r="98" spans="1:53" x14ac:dyDescent="0.25">
      <c r="A98">
        <v>143</v>
      </c>
      <c r="B98" s="1" t="s">
        <v>195</v>
      </c>
      <c r="C98">
        <v>464</v>
      </c>
      <c r="D98">
        <v>1</v>
      </c>
      <c r="E98" t="b">
        <v>1</v>
      </c>
      <c r="F98" s="1" t="s">
        <v>304</v>
      </c>
      <c r="G98" s="1" t="s">
        <v>305</v>
      </c>
      <c r="H98">
        <v>464</v>
      </c>
      <c r="I98">
        <v>1</v>
      </c>
      <c r="J98">
        <v>0.2</v>
      </c>
      <c r="K98" s="1" t="s">
        <v>306</v>
      </c>
      <c r="L98">
        <v>464</v>
      </c>
      <c r="M98" s="1" t="s">
        <v>307</v>
      </c>
      <c r="N98">
        <v>1</v>
      </c>
      <c r="O98">
        <v>0.12</v>
      </c>
      <c r="P98" s="1" t="s">
        <v>306</v>
      </c>
      <c r="Q98">
        <v>464</v>
      </c>
      <c r="R98" s="1" t="s">
        <v>308</v>
      </c>
      <c r="S98">
        <v>1</v>
      </c>
      <c r="T98">
        <v>0.22</v>
      </c>
      <c r="U98" s="1" t="s">
        <v>306</v>
      </c>
      <c r="V98">
        <v>464</v>
      </c>
      <c r="W98" s="1" t="s">
        <v>309</v>
      </c>
      <c r="X98">
        <v>1</v>
      </c>
      <c r="Y98">
        <v>4.1000000000000002E-2</v>
      </c>
      <c r="Z98" s="1" t="s">
        <v>306</v>
      </c>
      <c r="AA98">
        <v>464</v>
      </c>
      <c r="AB98" s="1" t="s">
        <v>310</v>
      </c>
      <c r="AC98">
        <v>1</v>
      </c>
      <c r="AD98">
        <v>14.087210000000001</v>
      </c>
      <c r="AE98" s="1" t="s">
        <v>311</v>
      </c>
      <c r="AF98">
        <v>464</v>
      </c>
      <c r="AG98" s="1" t="s">
        <v>312</v>
      </c>
      <c r="AH98">
        <v>1</v>
      </c>
      <c r="AI98">
        <v>9.4E-2</v>
      </c>
      <c r="AJ98" s="1" t="s">
        <v>306</v>
      </c>
      <c r="AK98">
        <v>464</v>
      </c>
      <c r="AL98" s="1" t="s">
        <v>313</v>
      </c>
      <c r="AM98">
        <v>1</v>
      </c>
      <c r="AN98">
        <v>0</v>
      </c>
      <c r="AO98" s="1" t="s">
        <v>306</v>
      </c>
      <c r="AP98">
        <v>464</v>
      </c>
      <c r="AQ98" s="1" t="s">
        <v>314</v>
      </c>
      <c r="AR98">
        <v>1</v>
      </c>
      <c r="AS98">
        <v>0.79</v>
      </c>
      <c r="AT98" s="1" t="s">
        <v>306</v>
      </c>
      <c r="AU98">
        <v>464</v>
      </c>
      <c r="AV98" s="1" t="s">
        <v>315</v>
      </c>
      <c r="AW98">
        <v>1</v>
      </c>
      <c r="AX98" t="b">
        <v>0</v>
      </c>
      <c r="AY98" s="1" t="s">
        <v>316</v>
      </c>
      <c r="AZ98">
        <v>464</v>
      </c>
      <c r="BA98" s="1" t="s">
        <v>317</v>
      </c>
    </row>
    <row r="99" spans="1:53" x14ac:dyDescent="0.25">
      <c r="A99">
        <v>153</v>
      </c>
      <c r="B99" s="1" t="s">
        <v>205</v>
      </c>
      <c r="C99">
        <v>481</v>
      </c>
      <c r="D99">
        <v>1</v>
      </c>
      <c r="E99" t="b">
        <v>1</v>
      </c>
      <c r="F99" s="1" t="s">
        <v>304</v>
      </c>
      <c r="G99" s="1" t="s">
        <v>305</v>
      </c>
      <c r="H99">
        <v>481</v>
      </c>
      <c r="I99">
        <v>1</v>
      </c>
      <c r="J99">
        <v>0.24</v>
      </c>
      <c r="K99" s="1" t="s">
        <v>306</v>
      </c>
      <c r="L99">
        <v>481</v>
      </c>
      <c r="M99" s="1" t="s">
        <v>307</v>
      </c>
      <c r="N99">
        <v>1</v>
      </c>
      <c r="O99">
        <v>0.18</v>
      </c>
      <c r="P99" s="1" t="s">
        <v>306</v>
      </c>
      <c r="Q99">
        <v>481</v>
      </c>
      <c r="R99" s="1" t="s">
        <v>308</v>
      </c>
      <c r="S99">
        <v>1</v>
      </c>
      <c r="T99">
        <v>0.14000000000000001</v>
      </c>
      <c r="U99" s="1" t="s">
        <v>306</v>
      </c>
      <c r="V99">
        <v>481</v>
      </c>
      <c r="W99" s="1" t="s">
        <v>309</v>
      </c>
      <c r="X99">
        <v>1</v>
      </c>
      <c r="Y99">
        <v>0.02</v>
      </c>
      <c r="Z99" s="1" t="s">
        <v>306</v>
      </c>
      <c r="AA99">
        <v>481</v>
      </c>
      <c r="AB99" s="1" t="s">
        <v>310</v>
      </c>
      <c r="AC99">
        <v>1</v>
      </c>
      <c r="AD99">
        <v>12.21589</v>
      </c>
      <c r="AE99" s="1" t="s">
        <v>311</v>
      </c>
      <c r="AF99">
        <v>481</v>
      </c>
      <c r="AG99" s="1" t="s">
        <v>312</v>
      </c>
      <c r="AH99">
        <v>1</v>
      </c>
      <c r="AI99">
        <v>0.1</v>
      </c>
      <c r="AJ99" s="1" t="s">
        <v>306</v>
      </c>
      <c r="AK99">
        <v>481</v>
      </c>
      <c r="AL99" s="1" t="s">
        <v>313</v>
      </c>
      <c r="AM99">
        <v>1</v>
      </c>
      <c r="AN99">
        <v>0</v>
      </c>
      <c r="AO99" s="1" t="s">
        <v>306</v>
      </c>
      <c r="AP99">
        <v>481</v>
      </c>
      <c r="AQ99" s="1" t="s">
        <v>314</v>
      </c>
      <c r="AR99">
        <v>1</v>
      </c>
      <c r="AS99">
        <v>0.73</v>
      </c>
      <c r="AT99" s="1" t="s">
        <v>306</v>
      </c>
      <c r="AU99">
        <v>481</v>
      </c>
      <c r="AV99" s="1" t="s">
        <v>315</v>
      </c>
      <c r="AW99">
        <v>1</v>
      </c>
      <c r="AX99" t="b">
        <v>0</v>
      </c>
      <c r="AY99" s="1" t="s">
        <v>316</v>
      </c>
      <c r="AZ99">
        <v>481</v>
      </c>
      <c r="BA99" s="1" t="s">
        <v>317</v>
      </c>
    </row>
    <row r="100" spans="1:53" x14ac:dyDescent="0.25">
      <c r="A100">
        <v>172</v>
      </c>
      <c r="B100" s="1" t="s">
        <v>224</v>
      </c>
      <c r="C100">
        <v>549</v>
      </c>
      <c r="D100">
        <v>1</v>
      </c>
      <c r="E100" t="b">
        <v>0</v>
      </c>
      <c r="F100" s="1" t="s">
        <v>304</v>
      </c>
      <c r="G100" s="1" t="s">
        <v>305</v>
      </c>
      <c r="H100">
        <v>549</v>
      </c>
      <c r="I100">
        <v>1</v>
      </c>
      <c r="J100">
        <v>0.253</v>
      </c>
      <c r="K100" s="1" t="s">
        <v>306</v>
      </c>
      <c r="L100">
        <v>549</v>
      </c>
      <c r="M100" s="1" t="s">
        <v>307</v>
      </c>
      <c r="N100">
        <v>1</v>
      </c>
      <c r="O100">
        <v>3.9E-2</v>
      </c>
      <c r="P100" s="1" t="s">
        <v>306</v>
      </c>
      <c r="Q100">
        <v>549</v>
      </c>
      <c r="R100" s="1" t="s">
        <v>308</v>
      </c>
      <c r="S100">
        <v>1</v>
      </c>
      <c r="T100">
        <v>0.17599999999999999</v>
      </c>
      <c r="U100" s="1" t="s">
        <v>306</v>
      </c>
      <c r="V100">
        <v>549</v>
      </c>
      <c r="W100" s="1" t="s">
        <v>309</v>
      </c>
      <c r="X100">
        <v>1</v>
      </c>
      <c r="Y100">
        <v>4.4999999999999998E-2</v>
      </c>
      <c r="Z100" s="1" t="s">
        <v>306</v>
      </c>
      <c r="AA100">
        <v>549</v>
      </c>
      <c r="AB100" s="1" t="s">
        <v>310</v>
      </c>
      <c r="AC100">
        <v>1</v>
      </c>
      <c r="AD100">
        <v>12.322340000000001</v>
      </c>
      <c r="AE100" s="1" t="s">
        <v>311</v>
      </c>
      <c r="AF100">
        <v>549</v>
      </c>
      <c r="AG100" s="1" t="s">
        <v>312</v>
      </c>
      <c r="AH100">
        <v>1</v>
      </c>
      <c r="AI100">
        <v>0.13</v>
      </c>
      <c r="AJ100" s="1" t="s">
        <v>306</v>
      </c>
      <c r="AK100">
        <v>549</v>
      </c>
      <c r="AL100" s="1" t="s">
        <v>313</v>
      </c>
      <c r="AM100">
        <v>1</v>
      </c>
      <c r="AN100">
        <v>0</v>
      </c>
      <c r="AO100" s="1" t="s">
        <v>306</v>
      </c>
      <c r="AP100">
        <v>549</v>
      </c>
      <c r="AQ100" s="1" t="s">
        <v>314</v>
      </c>
      <c r="AR100">
        <v>1</v>
      </c>
      <c r="AS100">
        <v>0.72</v>
      </c>
      <c r="AT100" s="1" t="s">
        <v>306</v>
      </c>
      <c r="AU100">
        <v>549</v>
      </c>
      <c r="AV100" s="1" t="s">
        <v>315</v>
      </c>
      <c r="AW100">
        <v>1</v>
      </c>
      <c r="AX100" t="b">
        <v>0</v>
      </c>
      <c r="AY100" s="1" t="s">
        <v>316</v>
      </c>
      <c r="AZ100">
        <v>549</v>
      </c>
      <c r="BA100" s="1" t="s">
        <v>317</v>
      </c>
    </row>
    <row r="101" spans="1:53" x14ac:dyDescent="0.25">
      <c r="A101">
        <v>171</v>
      </c>
      <c r="B101" s="1" t="s">
        <v>223</v>
      </c>
      <c r="C101">
        <v>548</v>
      </c>
      <c r="D101">
        <v>1</v>
      </c>
      <c r="E101" t="b">
        <v>0</v>
      </c>
      <c r="F101" s="1" t="s">
        <v>304</v>
      </c>
      <c r="G101" s="1" t="s">
        <v>305</v>
      </c>
      <c r="H101">
        <v>548</v>
      </c>
      <c r="I101">
        <v>1</v>
      </c>
      <c r="J101">
        <v>0.253</v>
      </c>
      <c r="K101" s="1" t="s">
        <v>306</v>
      </c>
      <c r="L101">
        <v>548</v>
      </c>
      <c r="M101" s="1" t="s">
        <v>307</v>
      </c>
      <c r="N101">
        <v>1</v>
      </c>
      <c r="O101">
        <v>3.2000000000000001E-2</v>
      </c>
      <c r="P101" s="1" t="s">
        <v>306</v>
      </c>
      <c r="Q101">
        <v>548</v>
      </c>
      <c r="R101" s="1" t="s">
        <v>308</v>
      </c>
      <c r="S101">
        <v>1</v>
      </c>
      <c r="T101">
        <v>0.17399999999999999</v>
      </c>
      <c r="U101" s="1" t="s">
        <v>306</v>
      </c>
      <c r="V101">
        <v>548</v>
      </c>
      <c r="W101" s="1" t="s">
        <v>309</v>
      </c>
      <c r="X101">
        <v>1</v>
      </c>
      <c r="Y101">
        <v>4.4999999999999998E-2</v>
      </c>
      <c r="Z101" s="1" t="s">
        <v>306</v>
      </c>
      <c r="AA101">
        <v>548</v>
      </c>
      <c r="AB101" s="1" t="s">
        <v>310</v>
      </c>
      <c r="AC101">
        <v>1</v>
      </c>
      <c r="AD101">
        <v>12.39724</v>
      </c>
      <c r="AE101" s="1" t="s">
        <v>311</v>
      </c>
      <c r="AF101">
        <v>548</v>
      </c>
      <c r="AG101" s="1" t="s">
        <v>312</v>
      </c>
      <c r="AH101">
        <v>1</v>
      </c>
      <c r="AI101">
        <v>0.129</v>
      </c>
      <c r="AJ101" s="1" t="s">
        <v>306</v>
      </c>
      <c r="AK101">
        <v>548</v>
      </c>
      <c r="AL101" s="1" t="s">
        <v>313</v>
      </c>
      <c r="AM101">
        <v>1</v>
      </c>
      <c r="AN101">
        <v>0</v>
      </c>
      <c r="AO101" s="1" t="s">
        <v>306</v>
      </c>
      <c r="AP101">
        <v>548</v>
      </c>
      <c r="AQ101" s="1" t="s">
        <v>314</v>
      </c>
      <c r="AR101">
        <v>1</v>
      </c>
      <c r="AS101">
        <v>0.72499999999999998</v>
      </c>
      <c r="AT101" s="1" t="s">
        <v>306</v>
      </c>
      <c r="AU101">
        <v>548</v>
      </c>
      <c r="AV101" s="1" t="s">
        <v>315</v>
      </c>
      <c r="AW101">
        <v>1</v>
      </c>
      <c r="AX101" t="b">
        <v>0</v>
      </c>
      <c r="AY101" s="1" t="s">
        <v>316</v>
      </c>
      <c r="AZ101">
        <v>548</v>
      </c>
      <c r="BA101" s="1" t="s">
        <v>317</v>
      </c>
    </row>
    <row r="102" spans="1:53" x14ac:dyDescent="0.25">
      <c r="A102">
        <v>64</v>
      </c>
      <c r="B102" s="1" t="s">
        <v>116</v>
      </c>
      <c r="C102">
        <v>258</v>
      </c>
      <c r="D102">
        <v>18.393740000000001</v>
      </c>
      <c r="E102" t="b">
        <v>0</v>
      </c>
      <c r="F102" s="1">
        <v>258</v>
      </c>
      <c r="G102" s="1" t="s">
        <v>305</v>
      </c>
      <c r="H102">
        <v>258</v>
      </c>
      <c r="I102">
        <v>1</v>
      </c>
      <c r="J102">
        <v>0.13800000000000001</v>
      </c>
      <c r="K102" s="1" t="s">
        <v>306</v>
      </c>
      <c r="L102">
        <v>258</v>
      </c>
      <c r="M102" s="1" t="s">
        <v>307</v>
      </c>
      <c r="N102">
        <v>1</v>
      </c>
      <c r="O102">
        <v>0.113</v>
      </c>
      <c r="P102" s="1" t="s">
        <v>306</v>
      </c>
      <c r="Q102">
        <v>258</v>
      </c>
      <c r="R102" s="1" t="s">
        <v>308</v>
      </c>
      <c r="S102">
        <v>1</v>
      </c>
      <c r="T102">
        <v>0.42599999999999999</v>
      </c>
      <c r="U102" s="1" t="s">
        <v>306</v>
      </c>
      <c r="V102">
        <v>258</v>
      </c>
      <c r="W102" s="1" t="s">
        <v>309</v>
      </c>
      <c r="X102">
        <v>1</v>
      </c>
      <c r="Y102">
        <v>6.7000000000000004E-2</v>
      </c>
      <c r="Z102" s="1" t="s">
        <v>306</v>
      </c>
      <c r="AA102">
        <v>258</v>
      </c>
      <c r="AB102" s="1" t="s">
        <v>310</v>
      </c>
      <c r="AC102">
        <v>1</v>
      </c>
      <c r="AD102">
        <v>18.393740000000001</v>
      </c>
      <c r="AE102" s="1" t="s">
        <v>311</v>
      </c>
      <c r="AF102">
        <v>258</v>
      </c>
      <c r="AG102" s="1" t="s">
        <v>312</v>
      </c>
      <c r="AH102">
        <v>1</v>
      </c>
      <c r="AI102">
        <v>5.0999999999999997E-2</v>
      </c>
      <c r="AJ102" s="1" t="s">
        <v>306</v>
      </c>
      <c r="AK102">
        <v>258</v>
      </c>
      <c r="AL102" s="1" t="s">
        <v>313</v>
      </c>
      <c r="AM102">
        <v>1</v>
      </c>
      <c r="AN102">
        <v>0</v>
      </c>
      <c r="AO102" s="1" t="s">
        <v>306</v>
      </c>
      <c r="AP102">
        <v>258</v>
      </c>
      <c r="AQ102" s="1" t="s">
        <v>314</v>
      </c>
      <c r="AR102">
        <v>1</v>
      </c>
      <c r="AS102">
        <v>0.91</v>
      </c>
      <c r="AT102" s="1" t="s">
        <v>306</v>
      </c>
      <c r="AU102">
        <v>258</v>
      </c>
      <c r="AV102" s="1" t="s">
        <v>315</v>
      </c>
      <c r="AW102">
        <v>1</v>
      </c>
      <c r="AX102" t="b">
        <v>0</v>
      </c>
      <c r="AY102" s="1" t="s">
        <v>316</v>
      </c>
      <c r="AZ102">
        <v>258</v>
      </c>
      <c r="BA102" s="1" t="s">
        <v>317</v>
      </c>
    </row>
    <row r="103" spans="1:53" x14ac:dyDescent="0.25">
      <c r="A103">
        <v>213</v>
      </c>
      <c r="B103" s="1" t="s">
        <v>265</v>
      </c>
      <c r="C103">
        <v>671</v>
      </c>
      <c r="D103">
        <v>1</v>
      </c>
      <c r="E103" t="b">
        <v>1</v>
      </c>
      <c r="F103" s="1" t="s">
        <v>304</v>
      </c>
      <c r="G103" s="1" t="s">
        <v>305</v>
      </c>
      <c r="H103">
        <v>671</v>
      </c>
      <c r="I103">
        <v>1</v>
      </c>
      <c r="J103">
        <v>0.24</v>
      </c>
      <c r="K103" s="1" t="s">
        <v>306</v>
      </c>
      <c r="L103">
        <v>671</v>
      </c>
      <c r="M103" s="1" t="s">
        <v>307</v>
      </c>
      <c r="N103">
        <v>1</v>
      </c>
      <c r="O103">
        <v>0.13</v>
      </c>
      <c r="P103" s="1" t="s">
        <v>306</v>
      </c>
      <c r="Q103">
        <v>671</v>
      </c>
      <c r="R103" s="1" t="s">
        <v>308</v>
      </c>
      <c r="S103">
        <v>1</v>
      </c>
      <c r="T103">
        <v>0.18</v>
      </c>
      <c r="U103" s="1" t="s">
        <v>306</v>
      </c>
      <c r="V103">
        <v>671</v>
      </c>
      <c r="W103" s="1" t="s">
        <v>309</v>
      </c>
      <c r="X103">
        <v>1</v>
      </c>
      <c r="Y103">
        <v>3.6999999999999998E-2</v>
      </c>
      <c r="Z103" s="1" t="s">
        <v>306</v>
      </c>
      <c r="AA103">
        <v>671</v>
      </c>
      <c r="AB103" s="1" t="s">
        <v>310</v>
      </c>
      <c r="AC103">
        <v>1</v>
      </c>
      <c r="AD103">
        <v>13.06203</v>
      </c>
      <c r="AE103" s="1" t="s">
        <v>311</v>
      </c>
      <c r="AF103">
        <v>671</v>
      </c>
      <c r="AG103" s="1" t="s">
        <v>312</v>
      </c>
      <c r="AH103">
        <v>1</v>
      </c>
      <c r="AI103">
        <v>0.09</v>
      </c>
      <c r="AJ103" s="1" t="s">
        <v>306</v>
      </c>
      <c r="AK103">
        <v>671</v>
      </c>
      <c r="AL103" s="1" t="s">
        <v>313</v>
      </c>
      <c r="AM103">
        <v>1</v>
      </c>
      <c r="AN103">
        <v>0</v>
      </c>
      <c r="AO103" s="1" t="s">
        <v>306</v>
      </c>
      <c r="AP103">
        <v>671</v>
      </c>
      <c r="AQ103" s="1" t="s">
        <v>314</v>
      </c>
      <c r="AR103">
        <v>1</v>
      </c>
      <c r="AS103">
        <v>0.75</v>
      </c>
      <c r="AT103" s="1" t="s">
        <v>306</v>
      </c>
      <c r="AU103">
        <v>671</v>
      </c>
      <c r="AV103" s="1" t="s">
        <v>315</v>
      </c>
      <c r="AW103">
        <v>1</v>
      </c>
      <c r="AX103" t="b">
        <v>0</v>
      </c>
      <c r="AY103" s="1" t="s">
        <v>316</v>
      </c>
      <c r="AZ103">
        <v>671</v>
      </c>
      <c r="BA103" s="1" t="s">
        <v>317</v>
      </c>
    </row>
    <row r="104" spans="1:53" x14ac:dyDescent="0.25">
      <c r="A104">
        <v>216</v>
      </c>
      <c r="B104" s="1" t="s">
        <v>268</v>
      </c>
      <c r="C104">
        <v>675</v>
      </c>
      <c r="D104">
        <v>1</v>
      </c>
      <c r="E104" t="b">
        <v>1</v>
      </c>
      <c r="F104" s="1" t="s">
        <v>304</v>
      </c>
      <c r="G104" s="1" t="s">
        <v>305</v>
      </c>
      <c r="H104">
        <v>675</v>
      </c>
      <c r="I104">
        <v>1</v>
      </c>
      <c r="J104">
        <v>0.32</v>
      </c>
      <c r="K104" s="1" t="s">
        <v>306</v>
      </c>
      <c r="L104">
        <v>675</v>
      </c>
      <c r="M104" s="1" t="s">
        <v>307</v>
      </c>
      <c r="N104">
        <v>1</v>
      </c>
      <c r="O104">
        <v>0.08</v>
      </c>
      <c r="P104" s="1" t="s">
        <v>306</v>
      </c>
      <c r="Q104">
        <v>675</v>
      </c>
      <c r="R104" s="1" t="s">
        <v>308</v>
      </c>
      <c r="S104">
        <v>1</v>
      </c>
      <c r="T104">
        <v>0.17</v>
      </c>
      <c r="U104" s="1" t="s">
        <v>306</v>
      </c>
      <c r="V104">
        <v>675</v>
      </c>
      <c r="W104" s="1" t="s">
        <v>309</v>
      </c>
      <c r="X104">
        <v>1</v>
      </c>
      <c r="Y104">
        <v>3.7999999999999999E-2</v>
      </c>
      <c r="Z104" s="1" t="s">
        <v>306</v>
      </c>
      <c r="AA104">
        <v>675</v>
      </c>
      <c r="AB104" s="1" t="s">
        <v>310</v>
      </c>
      <c r="AC104">
        <v>1</v>
      </c>
      <c r="AD104">
        <v>10.84717</v>
      </c>
      <c r="AE104" s="1" t="s">
        <v>311</v>
      </c>
      <c r="AF104">
        <v>675</v>
      </c>
      <c r="AG104" s="1" t="s">
        <v>312</v>
      </c>
      <c r="AH104">
        <v>1</v>
      </c>
      <c r="AI104">
        <v>0.09</v>
      </c>
      <c r="AJ104" s="1" t="s">
        <v>306</v>
      </c>
      <c r="AK104">
        <v>675</v>
      </c>
      <c r="AL104" s="1" t="s">
        <v>313</v>
      </c>
      <c r="AM104">
        <v>1</v>
      </c>
      <c r="AN104">
        <v>0</v>
      </c>
      <c r="AO104" s="1" t="s">
        <v>306</v>
      </c>
      <c r="AP104">
        <v>675</v>
      </c>
      <c r="AQ104" s="1" t="s">
        <v>314</v>
      </c>
      <c r="AR104">
        <v>1</v>
      </c>
      <c r="AS104">
        <v>0.61</v>
      </c>
      <c r="AT104" s="1" t="s">
        <v>306</v>
      </c>
      <c r="AU104">
        <v>675</v>
      </c>
      <c r="AV104" s="1" t="s">
        <v>315</v>
      </c>
      <c r="AW104">
        <v>1</v>
      </c>
      <c r="AX104" t="b">
        <v>0</v>
      </c>
      <c r="AY104" s="1" t="s">
        <v>316</v>
      </c>
      <c r="AZ104">
        <v>675</v>
      </c>
      <c r="BA104" s="1" t="s">
        <v>317</v>
      </c>
    </row>
    <row r="105" spans="1:53" x14ac:dyDescent="0.25">
      <c r="A105">
        <v>214</v>
      </c>
      <c r="B105" s="1" t="s">
        <v>266</v>
      </c>
      <c r="C105">
        <v>672</v>
      </c>
      <c r="D105">
        <v>1</v>
      </c>
      <c r="E105" t="b">
        <v>1</v>
      </c>
      <c r="F105" s="1" t="s">
        <v>304</v>
      </c>
      <c r="G105" s="1" t="s">
        <v>305</v>
      </c>
      <c r="H105">
        <v>672</v>
      </c>
      <c r="I105">
        <v>1</v>
      </c>
      <c r="J105">
        <v>0.26</v>
      </c>
      <c r="K105" s="1" t="s">
        <v>306</v>
      </c>
      <c r="L105">
        <v>672</v>
      </c>
      <c r="M105" s="1" t="s">
        <v>307</v>
      </c>
      <c r="N105">
        <v>1</v>
      </c>
      <c r="O105">
        <v>0.08</v>
      </c>
      <c r="P105" s="1" t="s">
        <v>306</v>
      </c>
      <c r="Q105">
        <v>672</v>
      </c>
      <c r="R105" s="1" t="s">
        <v>308</v>
      </c>
      <c r="S105">
        <v>1</v>
      </c>
      <c r="T105">
        <v>0.18</v>
      </c>
      <c r="U105" s="1" t="s">
        <v>306</v>
      </c>
      <c r="V105">
        <v>672</v>
      </c>
      <c r="W105" s="1" t="s">
        <v>309</v>
      </c>
      <c r="X105">
        <v>1</v>
      </c>
      <c r="Y105">
        <v>3.4000000000000002E-2</v>
      </c>
      <c r="Z105" s="1" t="s">
        <v>306</v>
      </c>
      <c r="AA105">
        <v>672</v>
      </c>
      <c r="AB105" s="1" t="s">
        <v>310</v>
      </c>
      <c r="AC105">
        <v>1</v>
      </c>
      <c r="AD105">
        <v>12.22645</v>
      </c>
      <c r="AE105" s="1" t="s">
        <v>311</v>
      </c>
      <c r="AF105">
        <v>672</v>
      </c>
      <c r="AG105" s="1" t="s">
        <v>312</v>
      </c>
      <c r="AH105">
        <v>1</v>
      </c>
      <c r="AI105">
        <v>0.09</v>
      </c>
      <c r="AJ105" s="1" t="s">
        <v>306</v>
      </c>
      <c r="AK105">
        <v>672</v>
      </c>
      <c r="AL105" s="1" t="s">
        <v>313</v>
      </c>
      <c r="AM105">
        <v>1</v>
      </c>
      <c r="AN105">
        <v>0</v>
      </c>
      <c r="AO105" s="1" t="s">
        <v>306</v>
      </c>
      <c r="AP105">
        <v>672</v>
      </c>
      <c r="AQ105" s="1" t="s">
        <v>314</v>
      </c>
      <c r="AR105">
        <v>1</v>
      </c>
      <c r="AS105">
        <v>0.7</v>
      </c>
      <c r="AT105" s="1" t="s">
        <v>306</v>
      </c>
      <c r="AU105">
        <v>672</v>
      </c>
      <c r="AV105" s="1" t="s">
        <v>315</v>
      </c>
      <c r="AW105">
        <v>1</v>
      </c>
      <c r="AX105" t="b">
        <v>0</v>
      </c>
      <c r="AY105" s="1" t="s">
        <v>316</v>
      </c>
      <c r="AZ105">
        <v>672</v>
      </c>
      <c r="BA105" s="1" t="s">
        <v>317</v>
      </c>
    </row>
    <row r="106" spans="1:53" x14ac:dyDescent="0.25">
      <c r="A106">
        <v>215</v>
      </c>
      <c r="B106" s="1" t="s">
        <v>267</v>
      </c>
      <c r="C106">
        <v>673</v>
      </c>
      <c r="D106">
        <v>1</v>
      </c>
      <c r="E106" t="b">
        <v>1</v>
      </c>
      <c r="F106" s="1" t="s">
        <v>304</v>
      </c>
      <c r="G106" s="1" t="s">
        <v>305</v>
      </c>
      <c r="H106">
        <v>673</v>
      </c>
      <c r="I106">
        <v>1</v>
      </c>
      <c r="J106">
        <v>0.28000000000000003</v>
      </c>
      <c r="K106" s="1" t="s">
        <v>306</v>
      </c>
      <c r="L106">
        <v>673</v>
      </c>
      <c r="M106" s="1" t="s">
        <v>307</v>
      </c>
      <c r="N106">
        <v>1</v>
      </c>
      <c r="O106">
        <v>0.06</v>
      </c>
      <c r="P106" s="1" t="s">
        <v>306</v>
      </c>
      <c r="Q106">
        <v>673</v>
      </c>
      <c r="R106" s="1" t="s">
        <v>308</v>
      </c>
      <c r="S106">
        <v>1</v>
      </c>
      <c r="T106">
        <v>0.17</v>
      </c>
      <c r="U106" s="1" t="s">
        <v>306</v>
      </c>
      <c r="V106">
        <v>673</v>
      </c>
      <c r="W106" s="1" t="s">
        <v>309</v>
      </c>
      <c r="X106">
        <v>1</v>
      </c>
      <c r="Y106">
        <v>3.1E-2</v>
      </c>
      <c r="Z106" s="1" t="s">
        <v>306</v>
      </c>
      <c r="AA106">
        <v>673</v>
      </c>
      <c r="AB106" s="1" t="s">
        <v>310</v>
      </c>
      <c r="AC106">
        <v>1</v>
      </c>
      <c r="AD106">
        <v>11.327809999999999</v>
      </c>
      <c r="AE106" s="1" t="s">
        <v>311</v>
      </c>
      <c r="AF106">
        <v>673</v>
      </c>
      <c r="AG106" s="1" t="s">
        <v>312</v>
      </c>
      <c r="AH106">
        <v>1</v>
      </c>
      <c r="AI106">
        <v>0.09</v>
      </c>
      <c r="AJ106" s="1" t="s">
        <v>306</v>
      </c>
      <c r="AK106">
        <v>673</v>
      </c>
      <c r="AL106" s="1" t="s">
        <v>313</v>
      </c>
      <c r="AM106">
        <v>1</v>
      </c>
      <c r="AN106">
        <v>0</v>
      </c>
      <c r="AO106" s="1" t="s">
        <v>306</v>
      </c>
      <c r="AP106">
        <v>673</v>
      </c>
      <c r="AQ106" s="1" t="s">
        <v>314</v>
      </c>
      <c r="AR106">
        <v>1</v>
      </c>
      <c r="AS106">
        <v>0.65</v>
      </c>
      <c r="AT106" s="1" t="s">
        <v>306</v>
      </c>
      <c r="AU106">
        <v>673</v>
      </c>
      <c r="AV106" s="1" t="s">
        <v>315</v>
      </c>
      <c r="AW106">
        <v>1</v>
      </c>
      <c r="AX106" t="b">
        <v>0</v>
      </c>
      <c r="AY106" s="1" t="s">
        <v>316</v>
      </c>
      <c r="AZ106">
        <v>673</v>
      </c>
      <c r="BA106" s="1" t="s">
        <v>317</v>
      </c>
    </row>
    <row r="107" spans="1:53" x14ac:dyDescent="0.25">
      <c r="A107">
        <v>141</v>
      </c>
      <c r="B107" s="1" t="s">
        <v>193</v>
      </c>
      <c r="C107">
        <v>449</v>
      </c>
      <c r="D107">
        <v>1</v>
      </c>
      <c r="E107" t="b">
        <v>1</v>
      </c>
      <c r="F107" s="1" t="s">
        <v>304</v>
      </c>
      <c r="G107" s="1" t="s">
        <v>305</v>
      </c>
      <c r="H107">
        <v>449</v>
      </c>
      <c r="I107">
        <v>1</v>
      </c>
      <c r="J107">
        <v>0.23</v>
      </c>
      <c r="K107" s="1" t="s">
        <v>306</v>
      </c>
      <c r="L107">
        <v>449</v>
      </c>
      <c r="M107" s="1" t="s">
        <v>307</v>
      </c>
      <c r="N107">
        <v>1</v>
      </c>
      <c r="O107">
        <v>0.1</v>
      </c>
      <c r="P107" s="1" t="s">
        <v>306</v>
      </c>
      <c r="Q107">
        <v>449</v>
      </c>
      <c r="R107" s="1" t="s">
        <v>308</v>
      </c>
      <c r="S107">
        <v>1</v>
      </c>
      <c r="T107">
        <v>0.185</v>
      </c>
      <c r="U107" s="1" t="s">
        <v>306</v>
      </c>
      <c r="V107">
        <v>449</v>
      </c>
      <c r="W107" s="1" t="s">
        <v>309</v>
      </c>
      <c r="X107">
        <v>1</v>
      </c>
      <c r="Y107">
        <v>4.4999999999999998E-2</v>
      </c>
      <c r="Z107" s="1" t="s">
        <v>306</v>
      </c>
      <c r="AA107">
        <v>449</v>
      </c>
      <c r="AB107" s="1" t="s">
        <v>310</v>
      </c>
      <c r="AC107">
        <v>1</v>
      </c>
      <c r="AD107">
        <v>12.937469999999999</v>
      </c>
      <c r="AE107" s="1" t="s">
        <v>311</v>
      </c>
      <c r="AF107">
        <v>449</v>
      </c>
      <c r="AG107" s="1" t="s">
        <v>312</v>
      </c>
      <c r="AH107">
        <v>1</v>
      </c>
      <c r="AI107">
        <v>0.11</v>
      </c>
      <c r="AJ107" s="1" t="s">
        <v>306</v>
      </c>
      <c r="AK107">
        <v>449</v>
      </c>
      <c r="AL107" s="1" t="s">
        <v>313</v>
      </c>
      <c r="AM107">
        <v>1</v>
      </c>
      <c r="AN107">
        <v>0</v>
      </c>
      <c r="AO107" s="1" t="s">
        <v>306</v>
      </c>
      <c r="AP107">
        <v>449</v>
      </c>
      <c r="AQ107" s="1" t="s">
        <v>314</v>
      </c>
      <c r="AR107">
        <v>1</v>
      </c>
      <c r="AS107">
        <v>0.74</v>
      </c>
      <c r="AT107" s="1" t="s">
        <v>306</v>
      </c>
      <c r="AU107">
        <v>449</v>
      </c>
      <c r="AV107" s="1" t="s">
        <v>315</v>
      </c>
      <c r="AW107">
        <v>1</v>
      </c>
      <c r="AX107" t="b">
        <v>0</v>
      </c>
      <c r="AY107" s="1" t="s">
        <v>316</v>
      </c>
      <c r="AZ107">
        <v>449</v>
      </c>
      <c r="BA107" s="1" t="s">
        <v>317</v>
      </c>
    </row>
    <row r="108" spans="1:53" x14ac:dyDescent="0.25">
      <c r="A108">
        <v>140</v>
      </c>
      <c r="B108" s="1" t="s">
        <v>192</v>
      </c>
      <c r="C108">
        <v>448</v>
      </c>
      <c r="D108">
        <v>1</v>
      </c>
      <c r="E108" t="b">
        <v>1</v>
      </c>
      <c r="F108" s="1" t="s">
        <v>304</v>
      </c>
      <c r="G108" s="1" t="s">
        <v>305</v>
      </c>
      <c r="H108">
        <v>448</v>
      </c>
      <c r="I108">
        <v>1</v>
      </c>
      <c r="J108">
        <v>0.25</v>
      </c>
      <c r="K108" s="1" t="s">
        <v>306</v>
      </c>
      <c r="L108">
        <v>448</v>
      </c>
      <c r="M108" s="1" t="s">
        <v>307</v>
      </c>
      <c r="N108">
        <v>1</v>
      </c>
      <c r="O108">
        <v>0.1</v>
      </c>
      <c r="P108" s="1" t="s">
        <v>306</v>
      </c>
      <c r="Q108">
        <v>448</v>
      </c>
      <c r="R108" s="1" t="s">
        <v>308</v>
      </c>
      <c r="S108">
        <v>1</v>
      </c>
      <c r="T108">
        <v>0.17</v>
      </c>
      <c r="U108" s="1" t="s">
        <v>306</v>
      </c>
      <c r="V108">
        <v>448</v>
      </c>
      <c r="W108" s="1" t="s">
        <v>309</v>
      </c>
      <c r="X108">
        <v>1</v>
      </c>
      <c r="Y108">
        <v>4.4999999999999998E-2</v>
      </c>
      <c r="Z108" s="1" t="s">
        <v>306</v>
      </c>
      <c r="AA108">
        <v>448</v>
      </c>
      <c r="AB108" s="1" t="s">
        <v>310</v>
      </c>
      <c r="AC108">
        <v>1</v>
      </c>
      <c r="AD108">
        <v>12.76371</v>
      </c>
      <c r="AE108" s="1" t="s">
        <v>311</v>
      </c>
      <c r="AF108">
        <v>448</v>
      </c>
      <c r="AG108" s="1" t="s">
        <v>312</v>
      </c>
      <c r="AH108">
        <v>1</v>
      </c>
      <c r="AI108">
        <v>0.11</v>
      </c>
      <c r="AJ108" s="1" t="s">
        <v>306</v>
      </c>
      <c r="AK108">
        <v>448</v>
      </c>
      <c r="AL108" s="1" t="s">
        <v>313</v>
      </c>
      <c r="AM108">
        <v>1</v>
      </c>
      <c r="AN108">
        <v>0</v>
      </c>
      <c r="AO108" s="1" t="s">
        <v>306</v>
      </c>
      <c r="AP108">
        <v>448</v>
      </c>
      <c r="AQ108" s="1" t="s">
        <v>314</v>
      </c>
      <c r="AR108">
        <v>1</v>
      </c>
      <c r="AS108">
        <v>0.73499999999999999</v>
      </c>
      <c r="AT108" s="1" t="s">
        <v>306</v>
      </c>
      <c r="AU108">
        <v>448</v>
      </c>
      <c r="AV108" s="1" t="s">
        <v>315</v>
      </c>
      <c r="AW108">
        <v>1</v>
      </c>
      <c r="AX108" t="b">
        <v>0</v>
      </c>
      <c r="AY108" s="1" t="s">
        <v>316</v>
      </c>
      <c r="AZ108">
        <v>448</v>
      </c>
      <c r="BA108" s="1" t="s">
        <v>317</v>
      </c>
    </row>
    <row r="109" spans="1:53" x14ac:dyDescent="0.25">
      <c r="A109">
        <v>137</v>
      </c>
      <c r="B109" s="1" t="s">
        <v>189</v>
      </c>
      <c r="C109">
        <v>444</v>
      </c>
      <c r="D109">
        <v>1</v>
      </c>
      <c r="E109" t="b">
        <v>1</v>
      </c>
      <c r="F109" s="1" t="s">
        <v>304</v>
      </c>
      <c r="G109" s="1" t="s">
        <v>305</v>
      </c>
      <c r="H109">
        <v>444</v>
      </c>
      <c r="I109">
        <v>1</v>
      </c>
      <c r="J109">
        <v>0.18</v>
      </c>
      <c r="K109" s="1" t="s">
        <v>306</v>
      </c>
      <c r="L109">
        <v>444</v>
      </c>
      <c r="M109" s="1" t="s">
        <v>307</v>
      </c>
      <c r="N109">
        <v>1</v>
      </c>
      <c r="O109">
        <v>0.15</v>
      </c>
      <c r="P109" s="1" t="s">
        <v>306</v>
      </c>
      <c r="Q109">
        <v>444</v>
      </c>
      <c r="R109" s="1" t="s">
        <v>308</v>
      </c>
      <c r="S109">
        <v>1</v>
      </c>
      <c r="T109">
        <v>0.25</v>
      </c>
      <c r="U109" s="1" t="s">
        <v>306</v>
      </c>
      <c r="V109">
        <v>444</v>
      </c>
      <c r="W109" s="1" t="s">
        <v>309</v>
      </c>
      <c r="X109">
        <v>1</v>
      </c>
      <c r="Y109">
        <v>4.9000000000000002E-2</v>
      </c>
      <c r="Z109" s="1" t="s">
        <v>306</v>
      </c>
      <c r="AA109">
        <v>444</v>
      </c>
      <c r="AB109" s="1" t="s">
        <v>310</v>
      </c>
      <c r="AC109">
        <v>1</v>
      </c>
      <c r="AD109">
        <v>14.961080000000001</v>
      </c>
      <c r="AE109" s="1" t="s">
        <v>311</v>
      </c>
      <c r="AF109">
        <v>444</v>
      </c>
      <c r="AG109" s="1" t="s">
        <v>312</v>
      </c>
      <c r="AH109">
        <v>1</v>
      </c>
      <c r="AI109">
        <v>0.11</v>
      </c>
      <c r="AJ109" s="1" t="s">
        <v>306</v>
      </c>
      <c r="AK109">
        <v>444</v>
      </c>
      <c r="AL109" s="1" t="s">
        <v>313</v>
      </c>
      <c r="AM109">
        <v>1</v>
      </c>
      <c r="AN109">
        <v>0</v>
      </c>
      <c r="AO109" s="1" t="s">
        <v>306</v>
      </c>
      <c r="AP109">
        <v>444</v>
      </c>
      <c r="AQ109" s="1" t="s">
        <v>314</v>
      </c>
      <c r="AR109">
        <v>1</v>
      </c>
      <c r="AS109">
        <v>0.84</v>
      </c>
      <c r="AT109" s="1" t="s">
        <v>306</v>
      </c>
      <c r="AU109">
        <v>444</v>
      </c>
      <c r="AV109" s="1" t="s">
        <v>315</v>
      </c>
      <c r="AW109">
        <v>1</v>
      </c>
      <c r="AX109" t="b">
        <v>0</v>
      </c>
      <c r="AY109" s="1" t="s">
        <v>316</v>
      </c>
      <c r="AZ109">
        <v>444</v>
      </c>
      <c r="BA109" s="1" t="s">
        <v>317</v>
      </c>
    </row>
    <row r="110" spans="1:53" x14ac:dyDescent="0.25">
      <c r="A110">
        <v>139</v>
      </c>
      <c r="B110" s="1" t="s">
        <v>191</v>
      </c>
      <c r="C110">
        <v>446</v>
      </c>
      <c r="D110">
        <v>1</v>
      </c>
      <c r="E110" t="b">
        <v>1</v>
      </c>
      <c r="F110" s="1" t="s">
        <v>304</v>
      </c>
      <c r="G110" s="1" t="s">
        <v>305</v>
      </c>
      <c r="H110">
        <v>446</v>
      </c>
      <c r="I110">
        <v>1</v>
      </c>
      <c r="J110">
        <v>0.24</v>
      </c>
      <c r="K110" s="1" t="s">
        <v>306</v>
      </c>
      <c r="L110">
        <v>446</v>
      </c>
      <c r="M110" s="1" t="s">
        <v>307</v>
      </c>
      <c r="N110">
        <v>1</v>
      </c>
      <c r="O110">
        <v>0.13</v>
      </c>
      <c r="P110" s="1" t="s">
        <v>306</v>
      </c>
      <c r="Q110">
        <v>446</v>
      </c>
      <c r="R110" s="1" t="s">
        <v>308</v>
      </c>
      <c r="S110">
        <v>1</v>
      </c>
      <c r="T110">
        <v>0.18</v>
      </c>
      <c r="U110" s="1" t="s">
        <v>306</v>
      </c>
      <c r="V110">
        <v>446</v>
      </c>
      <c r="W110" s="1" t="s">
        <v>309</v>
      </c>
      <c r="X110">
        <v>1</v>
      </c>
      <c r="Y110">
        <v>4.4999999999999998E-2</v>
      </c>
      <c r="Z110" s="1" t="s">
        <v>306</v>
      </c>
      <c r="AA110">
        <v>446</v>
      </c>
      <c r="AB110" s="1" t="s">
        <v>310</v>
      </c>
      <c r="AC110">
        <v>1</v>
      </c>
      <c r="AD110">
        <v>13.521089999999999</v>
      </c>
      <c r="AE110" s="1" t="s">
        <v>311</v>
      </c>
      <c r="AF110">
        <v>446</v>
      </c>
      <c r="AG110" s="1" t="s">
        <v>312</v>
      </c>
      <c r="AH110">
        <v>1</v>
      </c>
      <c r="AI110">
        <v>0.11</v>
      </c>
      <c r="AJ110" s="1" t="s">
        <v>306</v>
      </c>
      <c r="AK110">
        <v>446</v>
      </c>
      <c r="AL110" s="1" t="s">
        <v>313</v>
      </c>
      <c r="AM110">
        <v>1</v>
      </c>
      <c r="AN110">
        <v>0</v>
      </c>
      <c r="AO110" s="1" t="s">
        <v>306</v>
      </c>
      <c r="AP110">
        <v>446</v>
      </c>
      <c r="AQ110" s="1" t="s">
        <v>314</v>
      </c>
      <c r="AR110">
        <v>1</v>
      </c>
      <c r="AS110">
        <v>0.78</v>
      </c>
      <c r="AT110" s="1" t="s">
        <v>306</v>
      </c>
      <c r="AU110">
        <v>446</v>
      </c>
      <c r="AV110" s="1" t="s">
        <v>315</v>
      </c>
      <c r="AW110">
        <v>1</v>
      </c>
      <c r="AX110" t="b">
        <v>0</v>
      </c>
      <c r="AY110" s="1" t="s">
        <v>316</v>
      </c>
      <c r="AZ110">
        <v>446</v>
      </c>
      <c r="BA110" s="1" t="s">
        <v>317</v>
      </c>
    </row>
    <row r="111" spans="1:53" x14ac:dyDescent="0.25">
      <c r="A111">
        <v>138</v>
      </c>
      <c r="B111" s="1" t="s">
        <v>190</v>
      </c>
      <c r="C111">
        <v>445</v>
      </c>
      <c r="D111">
        <v>1</v>
      </c>
      <c r="E111" t="b">
        <v>1</v>
      </c>
      <c r="F111" s="1" t="s">
        <v>304</v>
      </c>
      <c r="G111" s="1" t="s">
        <v>305</v>
      </c>
      <c r="H111">
        <v>445</v>
      </c>
      <c r="I111">
        <v>1</v>
      </c>
      <c r="J111">
        <v>0.21</v>
      </c>
      <c r="K111" s="1" t="s">
        <v>306</v>
      </c>
      <c r="L111">
        <v>445</v>
      </c>
      <c r="M111" s="1" t="s">
        <v>307</v>
      </c>
      <c r="N111">
        <v>1</v>
      </c>
      <c r="O111">
        <v>0.14000000000000001</v>
      </c>
      <c r="P111" s="1" t="s">
        <v>306</v>
      </c>
      <c r="Q111">
        <v>445</v>
      </c>
      <c r="R111" s="1" t="s">
        <v>308</v>
      </c>
      <c r="S111">
        <v>1</v>
      </c>
      <c r="T111">
        <v>0.21</v>
      </c>
      <c r="U111" s="1" t="s">
        <v>306</v>
      </c>
      <c r="V111">
        <v>445</v>
      </c>
      <c r="W111" s="1" t="s">
        <v>309</v>
      </c>
      <c r="X111">
        <v>1</v>
      </c>
      <c r="Y111">
        <v>4.7E-2</v>
      </c>
      <c r="Z111" s="1" t="s">
        <v>306</v>
      </c>
      <c r="AA111">
        <v>445</v>
      </c>
      <c r="AB111" s="1" t="s">
        <v>310</v>
      </c>
      <c r="AC111">
        <v>1</v>
      </c>
      <c r="AD111">
        <v>14.28581</v>
      </c>
      <c r="AE111" s="1" t="s">
        <v>311</v>
      </c>
      <c r="AF111">
        <v>445</v>
      </c>
      <c r="AG111" s="1" t="s">
        <v>312</v>
      </c>
      <c r="AH111">
        <v>1</v>
      </c>
      <c r="AI111">
        <v>0.11</v>
      </c>
      <c r="AJ111" s="1" t="s">
        <v>306</v>
      </c>
      <c r="AK111">
        <v>445</v>
      </c>
      <c r="AL111" s="1" t="s">
        <v>313</v>
      </c>
      <c r="AM111">
        <v>1</v>
      </c>
      <c r="AN111">
        <v>0</v>
      </c>
      <c r="AO111" s="1" t="s">
        <v>306</v>
      </c>
      <c r="AP111">
        <v>445</v>
      </c>
      <c r="AQ111" s="1" t="s">
        <v>314</v>
      </c>
      <c r="AR111">
        <v>1</v>
      </c>
      <c r="AS111">
        <v>0.81499999999999995</v>
      </c>
      <c r="AT111" s="1" t="s">
        <v>306</v>
      </c>
      <c r="AU111">
        <v>445</v>
      </c>
      <c r="AV111" s="1" t="s">
        <v>315</v>
      </c>
      <c r="AW111">
        <v>1</v>
      </c>
      <c r="AX111" t="b">
        <v>0</v>
      </c>
      <c r="AY111" s="1" t="s">
        <v>316</v>
      </c>
      <c r="AZ111">
        <v>445</v>
      </c>
      <c r="BA111" s="1" t="s">
        <v>317</v>
      </c>
    </row>
    <row r="112" spans="1:53" x14ac:dyDescent="0.25">
      <c r="A112">
        <v>37</v>
      </c>
      <c r="B112" s="1" t="s">
        <v>89</v>
      </c>
      <c r="C112">
        <v>212</v>
      </c>
      <c r="D112">
        <v>20.77122</v>
      </c>
      <c r="E112" t="b">
        <v>0</v>
      </c>
      <c r="F112" s="1">
        <v>212</v>
      </c>
      <c r="G112" s="1" t="s">
        <v>305</v>
      </c>
      <c r="H112">
        <v>212</v>
      </c>
      <c r="I112">
        <v>1</v>
      </c>
      <c r="J112">
        <v>7.4999999999999997E-2</v>
      </c>
      <c r="K112" s="1" t="s">
        <v>306</v>
      </c>
      <c r="L112">
        <v>212</v>
      </c>
      <c r="M112" s="1" t="s">
        <v>307</v>
      </c>
      <c r="N112">
        <v>1</v>
      </c>
      <c r="O112">
        <v>0.08</v>
      </c>
      <c r="P112" s="1" t="s">
        <v>306</v>
      </c>
      <c r="Q112">
        <v>212</v>
      </c>
      <c r="R112" s="1" t="s">
        <v>308</v>
      </c>
      <c r="S112">
        <v>1</v>
      </c>
      <c r="T112">
        <v>0.23200000000000001</v>
      </c>
      <c r="U112" s="1" t="s">
        <v>306</v>
      </c>
      <c r="V112">
        <v>212</v>
      </c>
      <c r="W112" s="1" t="s">
        <v>309</v>
      </c>
      <c r="X112">
        <v>1</v>
      </c>
      <c r="Y112">
        <v>0.38100000000000001</v>
      </c>
      <c r="Z112" s="1" t="s">
        <v>306</v>
      </c>
      <c r="AA112">
        <v>212</v>
      </c>
      <c r="AB112" s="1" t="s">
        <v>310</v>
      </c>
      <c r="AC112">
        <v>1</v>
      </c>
      <c r="AD112">
        <v>20.77122</v>
      </c>
      <c r="AE112" s="1" t="s">
        <v>311</v>
      </c>
      <c r="AF112">
        <v>212</v>
      </c>
      <c r="AG112" s="1" t="s">
        <v>312</v>
      </c>
      <c r="AH112">
        <v>1</v>
      </c>
      <c r="AI112">
        <v>5.3999999999999999E-2</v>
      </c>
      <c r="AJ112" s="1" t="s">
        <v>306</v>
      </c>
      <c r="AK112">
        <v>212</v>
      </c>
      <c r="AL112" s="1" t="s">
        <v>313</v>
      </c>
      <c r="AM112">
        <v>1</v>
      </c>
      <c r="AN112">
        <v>0</v>
      </c>
      <c r="AO112" s="1" t="s">
        <v>306</v>
      </c>
      <c r="AP112">
        <v>212</v>
      </c>
      <c r="AQ112" s="1" t="s">
        <v>314</v>
      </c>
      <c r="AR112">
        <v>1</v>
      </c>
      <c r="AS112">
        <v>0.82489999999999997</v>
      </c>
      <c r="AT112" s="1" t="s">
        <v>306</v>
      </c>
      <c r="AU112">
        <v>212</v>
      </c>
      <c r="AV112" s="1" t="s">
        <v>315</v>
      </c>
      <c r="AW112">
        <v>1</v>
      </c>
      <c r="AX112" t="b">
        <v>0</v>
      </c>
      <c r="AY112" s="1" t="s">
        <v>316</v>
      </c>
      <c r="AZ112">
        <v>212</v>
      </c>
      <c r="BA112" s="1" t="s">
        <v>317</v>
      </c>
    </row>
    <row r="113" spans="1:53" x14ac:dyDescent="0.25">
      <c r="A113">
        <v>5</v>
      </c>
      <c r="B113" s="1" t="s">
        <v>57</v>
      </c>
      <c r="C113">
        <v>111</v>
      </c>
      <c r="D113">
        <v>16.13213</v>
      </c>
      <c r="E113" t="b">
        <v>0</v>
      </c>
      <c r="F113" s="1">
        <v>111</v>
      </c>
      <c r="G113" s="1" t="s">
        <v>305</v>
      </c>
      <c r="H113">
        <v>111</v>
      </c>
      <c r="I113">
        <v>1</v>
      </c>
      <c r="J113">
        <v>0.111</v>
      </c>
      <c r="K113" s="1" t="s">
        <v>306</v>
      </c>
      <c r="L113">
        <v>111</v>
      </c>
      <c r="M113" s="1" t="s">
        <v>307</v>
      </c>
      <c r="N113">
        <v>1</v>
      </c>
      <c r="O113">
        <v>0.08</v>
      </c>
      <c r="P113" s="1" t="s">
        <v>306</v>
      </c>
      <c r="Q113">
        <v>111</v>
      </c>
      <c r="R113" s="1" t="s">
        <v>308</v>
      </c>
      <c r="S113">
        <v>1</v>
      </c>
      <c r="T113">
        <v>0.35299999999999998</v>
      </c>
      <c r="U113" s="1" t="s">
        <v>306</v>
      </c>
      <c r="V113">
        <v>111</v>
      </c>
      <c r="W113" s="1" t="s">
        <v>309</v>
      </c>
      <c r="X113">
        <v>1</v>
      </c>
      <c r="Y113">
        <v>8.1000000000000003E-2</v>
      </c>
      <c r="Z113" s="1" t="s">
        <v>306</v>
      </c>
      <c r="AA113">
        <v>111</v>
      </c>
      <c r="AB113" s="1" t="s">
        <v>310</v>
      </c>
      <c r="AC113">
        <v>1</v>
      </c>
      <c r="AD113">
        <v>16.13213</v>
      </c>
      <c r="AE113" s="1" t="s">
        <v>311</v>
      </c>
      <c r="AF113">
        <v>111</v>
      </c>
      <c r="AG113" s="1" t="s">
        <v>312</v>
      </c>
      <c r="AH113">
        <v>1</v>
      </c>
      <c r="AI113">
        <v>8.8999999999999996E-2</v>
      </c>
      <c r="AJ113" s="1" t="s">
        <v>306</v>
      </c>
      <c r="AK113">
        <v>111</v>
      </c>
      <c r="AL113" s="1" t="s">
        <v>313</v>
      </c>
      <c r="AM113">
        <v>1</v>
      </c>
      <c r="AN113">
        <v>0</v>
      </c>
      <c r="AO113" s="1" t="s">
        <v>306</v>
      </c>
      <c r="AP113">
        <v>111</v>
      </c>
      <c r="AQ113" s="1" t="s">
        <v>314</v>
      </c>
      <c r="AR113">
        <v>1</v>
      </c>
      <c r="AS113">
        <v>0.82</v>
      </c>
      <c r="AT113" s="1" t="s">
        <v>306</v>
      </c>
      <c r="AU113">
        <v>111</v>
      </c>
      <c r="AV113" s="1" t="s">
        <v>315</v>
      </c>
      <c r="AW113">
        <v>1</v>
      </c>
      <c r="AX113" t="b">
        <v>0</v>
      </c>
      <c r="AY113" s="1" t="s">
        <v>316</v>
      </c>
      <c r="AZ113">
        <v>111</v>
      </c>
      <c r="BA113" s="1" t="s">
        <v>317</v>
      </c>
    </row>
    <row r="114" spans="1:53" x14ac:dyDescent="0.25">
      <c r="A114">
        <v>6</v>
      </c>
      <c r="B114" s="1" t="s">
        <v>58</v>
      </c>
      <c r="C114">
        <v>114</v>
      </c>
      <c r="D114">
        <v>15.522729999999999</v>
      </c>
      <c r="E114" t="b">
        <v>0</v>
      </c>
      <c r="F114" s="1">
        <v>114</v>
      </c>
      <c r="G114" s="1" t="s">
        <v>305</v>
      </c>
      <c r="H114">
        <v>114</v>
      </c>
      <c r="I114">
        <v>1</v>
      </c>
      <c r="J114">
        <v>9.8000000000000004E-2</v>
      </c>
      <c r="K114" s="1" t="s">
        <v>306</v>
      </c>
      <c r="L114">
        <v>114</v>
      </c>
      <c r="M114" s="1" t="s">
        <v>307</v>
      </c>
      <c r="N114">
        <v>1</v>
      </c>
      <c r="O114">
        <v>0.08</v>
      </c>
      <c r="P114" s="1" t="s">
        <v>306</v>
      </c>
      <c r="Q114">
        <v>114</v>
      </c>
      <c r="R114" s="1" t="s">
        <v>308</v>
      </c>
      <c r="S114">
        <v>1</v>
      </c>
      <c r="T114">
        <v>0.39500000000000002</v>
      </c>
      <c r="U114" s="1" t="s">
        <v>306</v>
      </c>
      <c r="V114">
        <v>114</v>
      </c>
      <c r="W114" s="1" t="s">
        <v>309</v>
      </c>
      <c r="X114">
        <v>1</v>
      </c>
      <c r="Y114">
        <v>1.7999999999999999E-2</v>
      </c>
      <c r="Z114" s="1" t="s">
        <v>306</v>
      </c>
      <c r="AA114">
        <v>114</v>
      </c>
      <c r="AB114" s="1" t="s">
        <v>310</v>
      </c>
      <c r="AC114">
        <v>1</v>
      </c>
      <c r="AD114">
        <v>15.522729999999999</v>
      </c>
      <c r="AE114" s="1" t="s">
        <v>311</v>
      </c>
      <c r="AF114">
        <v>114</v>
      </c>
      <c r="AG114" s="1" t="s">
        <v>312</v>
      </c>
      <c r="AH114">
        <v>1</v>
      </c>
      <c r="AI114">
        <v>6.8000000000000005E-2</v>
      </c>
      <c r="AJ114" s="1" t="s">
        <v>306</v>
      </c>
      <c r="AK114">
        <v>114</v>
      </c>
      <c r="AL114" s="1" t="s">
        <v>313</v>
      </c>
      <c r="AM114">
        <v>1</v>
      </c>
      <c r="AN114">
        <v>0</v>
      </c>
      <c r="AO114" s="1" t="s">
        <v>306</v>
      </c>
      <c r="AP114">
        <v>114</v>
      </c>
      <c r="AQ114" s="1" t="s">
        <v>314</v>
      </c>
      <c r="AR114">
        <v>1</v>
      </c>
      <c r="AS114">
        <v>0.81</v>
      </c>
      <c r="AT114" s="1" t="s">
        <v>306</v>
      </c>
      <c r="AU114">
        <v>114</v>
      </c>
      <c r="AV114" s="1" t="s">
        <v>315</v>
      </c>
      <c r="AW114">
        <v>1</v>
      </c>
      <c r="AX114" t="b">
        <v>0</v>
      </c>
      <c r="AY114" s="1" t="s">
        <v>316</v>
      </c>
      <c r="AZ114">
        <v>114</v>
      </c>
      <c r="BA114" s="1" t="s">
        <v>317</v>
      </c>
    </row>
    <row r="115" spans="1:53" x14ac:dyDescent="0.25">
      <c r="A115">
        <v>226</v>
      </c>
      <c r="B115" s="1" t="s">
        <v>277</v>
      </c>
      <c r="C115">
        <v>708</v>
      </c>
      <c r="D115">
        <v>1</v>
      </c>
      <c r="E115" t="b">
        <v>0</v>
      </c>
      <c r="F115" s="1" t="s">
        <v>304</v>
      </c>
      <c r="G115" s="1" t="s">
        <v>305</v>
      </c>
      <c r="H115">
        <v>708</v>
      </c>
      <c r="I115">
        <v>1</v>
      </c>
      <c r="J115">
        <v>0.25</v>
      </c>
      <c r="K115" s="1" t="s">
        <v>306</v>
      </c>
      <c r="L115">
        <v>708</v>
      </c>
      <c r="M115" s="1" t="s">
        <v>307</v>
      </c>
      <c r="N115">
        <v>1</v>
      </c>
      <c r="O115">
        <v>0.12</v>
      </c>
      <c r="P115" s="1" t="s">
        <v>306</v>
      </c>
      <c r="Q115">
        <v>708</v>
      </c>
      <c r="R115" s="1" t="s">
        <v>308</v>
      </c>
      <c r="S115">
        <v>1</v>
      </c>
      <c r="T115">
        <v>0.2</v>
      </c>
      <c r="U115" s="1" t="s">
        <v>306</v>
      </c>
      <c r="V115">
        <v>708</v>
      </c>
      <c r="W115" s="1" t="s">
        <v>309</v>
      </c>
      <c r="X115">
        <v>1</v>
      </c>
      <c r="Y115">
        <v>3.7999999999999999E-2</v>
      </c>
      <c r="Z115" s="1" t="s">
        <v>306</v>
      </c>
      <c r="AA115">
        <v>708</v>
      </c>
      <c r="AB115" s="1" t="s">
        <v>310</v>
      </c>
      <c r="AC115">
        <v>1</v>
      </c>
      <c r="AD115">
        <v>12.48781</v>
      </c>
      <c r="AE115" s="1" t="s">
        <v>311</v>
      </c>
      <c r="AF115">
        <v>708</v>
      </c>
      <c r="AG115" s="1" t="s">
        <v>312</v>
      </c>
      <c r="AH115">
        <v>1</v>
      </c>
      <c r="AI115">
        <v>0.1</v>
      </c>
      <c r="AJ115" s="1" t="s">
        <v>306</v>
      </c>
      <c r="AK115">
        <v>708</v>
      </c>
      <c r="AL115" s="1" t="s">
        <v>313</v>
      </c>
      <c r="AM115">
        <v>1</v>
      </c>
      <c r="AN115">
        <v>0</v>
      </c>
      <c r="AO115" s="1" t="s">
        <v>306</v>
      </c>
      <c r="AP115">
        <v>708</v>
      </c>
      <c r="AQ115" s="1" t="s">
        <v>314</v>
      </c>
      <c r="AR115">
        <v>1</v>
      </c>
      <c r="AS115">
        <v>0.71</v>
      </c>
      <c r="AT115" s="1" t="s">
        <v>306</v>
      </c>
      <c r="AU115">
        <v>708</v>
      </c>
      <c r="AV115" s="1" t="s">
        <v>315</v>
      </c>
      <c r="AW115">
        <v>1</v>
      </c>
      <c r="AX115" t="b">
        <v>0</v>
      </c>
      <c r="AY115" s="1" t="s">
        <v>316</v>
      </c>
      <c r="AZ115">
        <v>708</v>
      </c>
      <c r="BA115" s="1" t="s">
        <v>317</v>
      </c>
    </row>
    <row r="116" spans="1:53" x14ac:dyDescent="0.25">
      <c r="A116">
        <v>227</v>
      </c>
      <c r="B116" s="1" t="s">
        <v>278</v>
      </c>
      <c r="C116">
        <v>709</v>
      </c>
      <c r="D116">
        <v>1</v>
      </c>
      <c r="E116" t="b">
        <v>0</v>
      </c>
      <c r="F116" s="1" t="s">
        <v>304</v>
      </c>
      <c r="G116" s="1" t="s">
        <v>305</v>
      </c>
      <c r="H116">
        <v>709</v>
      </c>
      <c r="I116">
        <v>1</v>
      </c>
      <c r="J116">
        <v>0.32</v>
      </c>
      <c r="K116" s="1" t="s">
        <v>306</v>
      </c>
      <c r="L116">
        <v>709</v>
      </c>
      <c r="M116" s="1" t="s">
        <v>307</v>
      </c>
      <c r="N116">
        <v>1</v>
      </c>
      <c r="O116">
        <v>0.1</v>
      </c>
      <c r="P116" s="1" t="s">
        <v>306</v>
      </c>
      <c r="Q116">
        <v>709</v>
      </c>
      <c r="R116" s="1" t="s">
        <v>308</v>
      </c>
      <c r="S116">
        <v>1</v>
      </c>
      <c r="T116">
        <v>0.17</v>
      </c>
      <c r="U116" s="1" t="s">
        <v>306</v>
      </c>
      <c r="V116">
        <v>709</v>
      </c>
      <c r="W116" s="1" t="s">
        <v>309</v>
      </c>
      <c r="X116">
        <v>1</v>
      </c>
      <c r="Y116">
        <v>3.7999999999999999E-2</v>
      </c>
      <c r="Z116" s="1" t="s">
        <v>306</v>
      </c>
      <c r="AA116">
        <v>709</v>
      </c>
      <c r="AB116" s="1" t="s">
        <v>310</v>
      </c>
      <c r="AC116">
        <v>1</v>
      </c>
      <c r="AD116">
        <v>10.74164</v>
      </c>
      <c r="AE116" s="1" t="s">
        <v>311</v>
      </c>
      <c r="AF116">
        <v>709</v>
      </c>
      <c r="AG116" s="1" t="s">
        <v>312</v>
      </c>
      <c r="AH116">
        <v>1</v>
      </c>
      <c r="AI116">
        <v>0.1</v>
      </c>
      <c r="AJ116" s="1" t="s">
        <v>306</v>
      </c>
      <c r="AK116">
        <v>709</v>
      </c>
      <c r="AL116" s="1" t="s">
        <v>313</v>
      </c>
      <c r="AM116">
        <v>1</v>
      </c>
      <c r="AN116">
        <v>0</v>
      </c>
      <c r="AO116" s="1" t="s">
        <v>306</v>
      </c>
      <c r="AP116">
        <v>709</v>
      </c>
      <c r="AQ116" s="1" t="s">
        <v>314</v>
      </c>
      <c r="AR116">
        <v>1</v>
      </c>
      <c r="AS116">
        <v>0.61</v>
      </c>
      <c r="AT116" s="1" t="s">
        <v>306</v>
      </c>
      <c r="AU116">
        <v>709</v>
      </c>
      <c r="AV116" s="1" t="s">
        <v>315</v>
      </c>
      <c r="AW116">
        <v>1</v>
      </c>
      <c r="AX116" t="b">
        <v>0</v>
      </c>
      <c r="AY116" s="1" t="s">
        <v>316</v>
      </c>
      <c r="AZ116">
        <v>709</v>
      </c>
      <c r="BA116" s="1" t="s">
        <v>317</v>
      </c>
    </row>
    <row r="117" spans="1:53" x14ac:dyDescent="0.25">
      <c r="A117">
        <v>209</v>
      </c>
      <c r="B117" s="1" t="s">
        <v>261</v>
      </c>
      <c r="C117">
        <v>602</v>
      </c>
      <c r="D117">
        <v>1</v>
      </c>
      <c r="E117" t="b">
        <v>1</v>
      </c>
      <c r="F117" s="1" t="s">
        <v>304</v>
      </c>
      <c r="G117" s="1" t="s">
        <v>305</v>
      </c>
      <c r="H117">
        <v>602</v>
      </c>
      <c r="I117">
        <v>1</v>
      </c>
      <c r="J117">
        <v>0.32300000000000001</v>
      </c>
      <c r="K117" s="1" t="s">
        <v>306</v>
      </c>
      <c r="L117">
        <v>602</v>
      </c>
      <c r="M117" s="1" t="s">
        <v>307</v>
      </c>
      <c r="N117">
        <v>1</v>
      </c>
      <c r="O117">
        <v>0.08</v>
      </c>
      <c r="P117" s="1" t="s">
        <v>306</v>
      </c>
      <c r="Q117">
        <v>602</v>
      </c>
      <c r="R117" s="1" t="s">
        <v>308</v>
      </c>
      <c r="S117">
        <v>1</v>
      </c>
      <c r="T117">
        <v>0.16800000000000001</v>
      </c>
      <c r="U117" s="1" t="s">
        <v>306</v>
      </c>
      <c r="V117">
        <v>602</v>
      </c>
      <c r="W117" s="1" t="s">
        <v>309</v>
      </c>
      <c r="X117">
        <v>1</v>
      </c>
      <c r="Y117">
        <v>2.9000000000000001E-2</v>
      </c>
      <c r="Z117" s="1" t="s">
        <v>306</v>
      </c>
      <c r="AA117">
        <v>602</v>
      </c>
      <c r="AB117" s="1" t="s">
        <v>310</v>
      </c>
      <c r="AC117">
        <v>1</v>
      </c>
      <c r="AD117">
        <v>10.3468</v>
      </c>
      <c r="AE117" s="1" t="s">
        <v>311</v>
      </c>
      <c r="AF117">
        <v>602</v>
      </c>
      <c r="AG117" s="1" t="s">
        <v>312</v>
      </c>
      <c r="AH117">
        <v>1</v>
      </c>
      <c r="AI117">
        <v>8.5999999999999993E-2</v>
      </c>
      <c r="AJ117" s="1" t="s">
        <v>306</v>
      </c>
      <c r="AK117">
        <v>602</v>
      </c>
      <c r="AL117" s="1" t="s">
        <v>313</v>
      </c>
      <c r="AM117">
        <v>1</v>
      </c>
      <c r="AN117">
        <v>0</v>
      </c>
      <c r="AO117" s="1" t="s">
        <v>306</v>
      </c>
      <c r="AP117">
        <v>602</v>
      </c>
      <c r="AQ117" s="1" t="s">
        <v>314</v>
      </c>
      <c r="AR117">
        <v>1</v>
      </c>
      <c r="AS117">
        <v>0.57999999999999996</v>
      </c>
      <c r="AT117" s="1" t="s">
        <v>306</v>
      </c>
      <c r="AU117">
        <v>602</v>
      </c>
      <c r="AV117" s="1" t="s">
        <v>315</v>
      </c>
      <c r="AW117">
        <v>1</v>
      </c>
      <c r="AX117" t="b">
        <v>0</v>
      </c>
      <c r="AY117" s="1" t="s">
        <v>316</v>
      </c>
      <c r="AZ117">
        <v>602</v>
      </c>
      <c r="BA117" s="1" t="s">
        <v>317</v>
      </c>
    </row>
    <row r="118" spans="1:53" x14ac:dyDescent="0.25">
      <c r="A118">
        <v>159</v>
      </c>
      <c r="B118" s="1" t="s">
        <v>211</v>
      </c>
      <c r="C118">
        <v>501</v>
      </c>
      <c r="D118">
        <v>1</v>
      </c>
      <c r="E118" t="b">
        <v>1</v>
      </c>
      <c r="F118" s="1" t="s">
        <v>304</v>
      </c>
      <c r="G118" s="1" t="s">
        <v>305</v>
      </c>
      <c r="H118">
        <v>501</v>
      </c>
      <c r="I118">
        <v>1</v>
      </c>
      <c r="J118">
        <v>0.25</v>
      </c>
      <c r="K118" s="1" t="s">
        <v>306</v>
      </c>
      <c r="L118">
        <v>501</v>
      </c>
      <c r="M118" s="1" t="s">
        <v>307</v>
      </c>
      <c r="N118">
        <v>1</v>
      </c>
      <c r="O118">
        <v>0.01</v>
      </c>
      <c r="P118" s="1" t="s">
        <v>306</v>
      </c>
      <c r="Q118">
        <v>501</v>
      </c>
      <c r="R118" s="1" t="s">
        <v>308</v>
      </c>
      <c r="S118">
        <v>1</v>
      </c>
      <c r="T118">
        <v>0.186</v>
      </c>
      <c r="U118" s="1" t="s">
        <v>306</v>
      </c>
      <c r="V118">
        <v>501</v>
      </c>
      <c r="W118" s="1" t="s">
        <v>309</v>
      </c>
      <c r="X118">
        <v>1</v>
      </c>
      <c r="Y118">
        <v>4.4999999999999998E-2</v>
      </c>
      <c r="Z118" s="1" t="s">
        <v>306</v>
      </c>
      <c r="AA118">
        <v>501</v>
      </c>
      <c r="AB118" s="1" t="s">
        <v>310</v>
      </c>
      <c r="AC118">
        <v>1</v>
      </c>
      <c r="AD118">
        <v>12.364369999999999</v>
      </c>
      <c r="AE118" s="1" t="s">
        <v>311</v>
      </c>
      <c r="AF118">
        <v>501</v>
      </c>
      <c r="AG118" s="1" t="s">
        <v>312</v>
      </c>
      <c r="AH118">
        <v>1</v>
      </c>
      <c r="AI118">
        <v>0.107</v>
      </c>
      <c r="AJ118" s="1" t="s">
        <v>306</v>
      </c>
      <c r="AK118">
        <v>501</v>
      </c>
      <c r="AL118" s="1" t="s">
        <v>313</v>
      </c>
      <c r="AM118">
        <v>1</v>
      </c>
      <c r="AN118">
        <v>0</v>
      </c>
      <c r="AO118" s="1" t="s">
        <v>306</v>
      </c>
      <c r="AP118">
        <v>501</v>
      </c>
      <c r="AQ118" s="1" t="s">
        <v>314</v>
      </c>
      <c r="AR118">
        <v>1</v>
      </c>
      <c r="AS118">
        <v>0.7</v>
      </c>
      <c r="AT118" s="1" t="s">
        <v>306</v>
      </c>
      <c r="AU118">
        <v>501</v>
      </c>
      <c r="AV118" s="1" t="s">
        <v>315</v>
      </c>
      <c r="AW118">
        <v>1</v>
      </c>
      <c r="AX118" t="b">
        <v>0</v>
      </c>
      <c r="AY118" s="1" t="s">
        <v>316</v>
      </c>
      <c r="AZ118">
        <v>501</v>
      </c>
      <c r="BA118" s="1" t="s">
        <v>317</v>
      </c>
    </row>
    <row r="119" spans="1:53" x14ac:dyDescent="0.25">
      <c r="A119">
        <v>160</v>
      </c>
      <c r="B119" s="1" t="s">
        <v>212</v>
      </c>
      <c r="C119">
        <v>502</v>
      </c>
      <c r="D119">
        <v>1</v>
      </c>
      <c r="E119" t="b">
        <v>1</v>
      </c>
      <c r="F119" s="1" t="s">
        <v>304</v>
      </c>
      <c r="G119" s="1" t="s">
        <v>305</v>
      </c>
      <c r="H119">
        <v>502</v>
      </c>
      <c r="I119">
        <v>1</v>
      </c>
      <c r="J119">
        <v>0.33</v>
      </c>
      <c r="K119" s="1" t="s">
        <v>306</v>
      </c>
      <c r="L119">
        <v>502</v>
      </c>
      <c r="M119" s="1" t="s">
        <v>307</v>
      </c>
      <c r="N119">
        <v>1</v>
      </c>
      <c r="O119">
        <v>0.01</v>
      </c>
      <c r="P119" s="1" t="s">
        <v>306</v>
      </c>
      <c r="Q119">
        <v>502</v>
      </c>
      <c r="R119" s="1" t="s">
        <v>308</v>
      </c>
      <c r="S119">
        <v>1</v>
      </c>
      <c r="T119">
        <v>0.17699999999999999</v>
      </c>
      <c r="U119" s="1" t="s">
        <v>306</v>
      </c>
      <c r="V119">
        <v>502</v>
      </c>
      <c r="W119" s="1" t="s">
        <v>309</v>
      </c>
      <c r="X119">
        <v>1</v>
      </c>
      <c r="Y119">
        <v>4.4999999999999998E-2</v>
      </c>
      <c r="Z119" s="1" t="s">
        <v>306</v>
      </c>
      <c r="AA119">
        <v>502</v>
      </c>
      <c r="AB119" s="1" t="s">
        <v>310</v>
      </c>
      <c r="AC119">
        <v>1</v>
      </c>
      <c r="AD119">
        <v>10.64775</v>
      </c>
      <c r="AE119" s="1" t="s">
        <v>311</v>
      </c>
      <c r="AF119">
        <v>502</v>
      </c>
      <c r="AG119" s="1" t="s">
        <v>312</v>
      </c>
      <c r="AH119">
        <v>1</v>
      </c>
      <c r="AI119">
        <v>0.10299999999999999</v>
      </c>
      <c r="AJ119" s="1" t="s">
        <v>306</v>
      </c>
      <c r="AK119">
        <v>502</v>
      </c>
      <c r="AL119" s="1" t="s">
        <v>313</v>
      </c>
      <c r="AM119">
        <v>1</v>
      </c>
      <c r="AN119">
        <v>0</v>
      </c>
      <c r="AO119" s="1" t="s">
        <v>306</v>
      </c>
      <c r="AP119">
        <v>502</v>
      </c>
      <c r="AQ119" s="1" t="s">
        <v>314</v>
      </c>
      <c r="AR119">
        <v>1</v>
      </c>
      <c r="AS119">
        <v>0.59</v>
      </c>
      <c r="AT119" s="1" t="s">
        <v>306</v>
      </c>
      <c r="AU119">
        <v>502</v>
      </c>
      <c r="AV119" s="1" t="s">
        <v>315</v>
      </c>
      <c r="AW119">
        <v>1</v>
      </c>
      <c r="AX119" t="b">
        <v>0</v>
      </c>
      <c r="AY119" s="1" t="s">
        <v>316</v>
      </c>
      <c r="AZ119">
        <v>502</v>
      </c>
      <c r="BA119" s="1" t="s">
        <v>317</v>
      </c>
    </row>
    <row r="120" spans="1:53" x14ac:dyDescent="0.25">
      <c r="A120">
        <v>125</v>
      </c>
      <c r="B120" s="1" t="s">
        <v>177</v>
      </c>
      <c r="C120">
        <v>401</v>
      </c>
      <c r="D120">
        <v>1</v>
      </c>
      <c r="E120" t="b">
        <v>1</v>
      </c>
      <c r="F120" s="1" t="s">
        <v>304</v>
      </c>
      <c r="G120" s="1" t="s">
        <v>305</v>
      </c>
      <c r="H120">
        <v>401</v>
      </c>
      <c r="I120">
        <v>1</v>
      </c>
      <c r="J120">
        <v>0.17</v>
      </c>
      <c r="K120" s="1" t="s">
        <v>306</v>
      </c>
      <c r="L120">
        <v>401</v>
      </c>
      <c r="M120" s="1" t="s">
        <v>307</v>
      </c>
      <c r="N120">
        <v>1</v>
      </c>
      <c r="O120">
        <v>0.12</v>
      </c>
      <c r="P120" s="1" t="s">
        <v>306</v>
      </c>
      <c r="Q120">
        <v>401</v>
      </c>
      <c r="R120" s="1" t="s">
        <v>308</v>
      </c>
      <c r="S120">
        <v>1</v>
      </c>
      <c r="T120">
        <v>0.24</v>
      </c>
      <c r="U120" s="1" t="s">
        <v>306</v>
      </c>
      <c r="V120">
        <v>401</v>
      </c>
      <c r="W120" s="1" t="s">
        <v>309</v>
      </c>
      <c r="X120">
        <v>1</v>
      </c>
      <c r="Y120">
        <v>0.04</v>
      </c>
      <c r="Z120" s="1" t="s">
        <v>306</v>
      </c>
      <c r="AA120">
        <v>401</v>
      </c>
      <c r="AB120" s="1" t="s">
        <v>310</v>
      </c>
      <c r="AC120">
        <v>1</v>
      </c>
      <c r="AD120">
        <v>12.76662</v>
      </c>
      <c r="AE120" s="1" t="s">
        <v>311</v>
      </c>
      <c r="AF120">
        <v>401</v>
      </c>
      <c r="AG120" s="1" t="s">
        <v>312</v>
      </c>
      <c r="AH120">
        <v>1</v>
      </c>
      <c r="AI120">
        <v>0.121</v>
      </c>
      <c r="AJ120" s="1" t="s">
        <v>306</v>
      </c>
      <c r="AK120">
        <v>401</v>
      </c>
      <c r="AL120" s="1" t="s">
        <v>313</v>
      </c>
      <c r="AM120">
        <v>1</v>
      </c>
      <c r="AN120">
        <v>0</v>
      </c>
      <c r="AO120" s="1" t="s">
        <v>306</v>
      </c>
      <c r="AP120">
        <v>401</v>
      </c>
      <c r="AQ120" s="1" t="s">
        <v>314</v>
      </c>
      <c r="AR120">
        <v>1</v>
      </c>
      <c r="AS120">
        <v>0.72</v>
      </c>
      <c r="AT120" s="1" t="s">
        <v>306</v>
      </c>
      <c r="AU120">
        <v>401</v>
      </c>
      <c r="AV120" s="1" t="s">
        <v>315</v>
      </c>
      <c r="AW120">
        <v>1</v>
      </c>
      <c r="AX120" t="b">
        <v>0</v>
      </c>
      <c r="AY120" s="1" t="s">
        <v>316</v>
      </c>
      <c r="AZ120">
        <v>401</v>
      </c>
      <c r="BA120" s="1" t="s">
        <v>317</v>
      </c>
    </row>
    <row r="121" spans="1:53" x14ac:dyDescent="0.25">
      <c r="A121">
        <v>127</v>
      </c>
      <c r="B121" s="1" t="s">
        <v>179</v>
      </c>
      <c r="C121">
        <v>403</v>
      </c>
      <c r="D121">
        <v>1</v>
      </c>
      <c r="E121" t="b">
        <v>1</v>
      </c>
      <c r="F121" s="1" t="s">
        <v>304</v>
      </c>
      <c r="G121" s="1" t="s">
        <v>305</v>
      </c>
      <c r="H121">
        <v>403</v>
      </c>
      <c r="I121">
        <v>1</v>
      </c>
      <c r="J121">
        <v>0.309</v>
      </c>
      <c r="K121" s="1" t="s">
        <v>306</v>
      </c>
      <c r="L121">
        <v>403</v>
      </c>
      <c r="M121" s="1" t="s">
        <v>307</v>
      </c>
      <c r="N121">
        <v>1</v>
      </c>
      <c r="O121">
        <v>0.08</v>
      </c>
      <c r="P121" s="1" t="s">
        <v>306</v>
      </c>
      <c r="Q121">
        <v>403</v>
      </c>
      <c r="R121" s="1" t="s">
        <v>308</v>
      </c>
      <c r="S121">
        <v>1</v>
      </c>
      <c r="T121">
        <v>0.154</v>
      </c>
      <c r="U121" s="1" t="s">
        <v>306</v>
      </c>
      <c r="V121">
        <v>403</v>
      </c>
      <c r="W121" s="1" t="s">
        <v>309</v>
      </c>
      <c r="X121">
        <v>1</v>
      </c>
      <c r="Y121">
        <v>2.9000000000000001E-2</v>
      </c>
      <c r="Z121" s="1" t="s">
        <v>306</v>
      </c>
      <c r="AA121">
        <v>403</v>
      </c>
      <c r="AB121" s="1" t="s">
        <v>310</v>
      </c>
      <c r="AC121">
        <v>1</v>
      </c>
      <c r="AD121">
        <v>9.5025460000000006</v>
      </c>
      <c r="AE121" s="1" t="s">
        <v>311</v>
      </c>
      <c r="AF121">
        <v>403</v>
      </c>
      <c r="AG121" s="1" t="s">
        <v>312</v>
      </c>
      <c r="AH121">
        <v>1</v>
      </c>
      <c r="AI121">
        <v>9.9000000000000005E-2</v>
      </c>
      <c r="AJ121" s="1" t="s">
        <v>306</v>
      </c>
      <c r="AK121">
        <v>403</v>
      </c>
      <c r="AL121" s="1" t="s">
        <v>313</v>
      </c>
      <c r="AM121">
        <v>1</v>
      </c>
      <c r="AN121">
        <v>0</v>
      </c>
      <c r="AO121" s="1" t="s">
        <v>306</v>
      </c>
      <c r="AP121">
        <v>403</v>
      </c>
      <c r="AQ121" s="1" t="s">
        <v>314</v>
      </c>
      <c r="AR121">
        <v>1</v>
      </c>
      <c r="AS121">
        <v>0.54</v>
      </c>
      <c r="AT121" s="1" t="s">
        <v>306</v>
      </c>
      <c r="AU121">
        <v>403</v>
      </c>
      <c r="AV121" s="1" t="s">
        <v>315</v>
      </c>
      <c r="AW121">
        <v>1</v>
      </c>
      <c r="AX121" t="b">
        <v>0</v>
      </c>
      <c r="AY121" s="1" t="s">
        <v>316</v>
      </c>
      <c r="AZ121">
        <v>403</v>
      </c>
      <c r="BA121" s="1" t="s">
        <v>317</v>
      </c>
    </row>
    <row r="122" spans="1:53" x14ac:dyDescent="0.25">
      <c r="A122">
        <v>126</v>
      </c>
      <c r="B122" s="1" t="s">
        <v>178</v>
      </c>
      <c r="C122">
        <v>402</v>
      </c>
      <c r="D122">
        <v>1</v>
      </c>
      <c r="E122" t="b">
        <v>1</v>
      </c>
      <c r="F122" s="1" t="s">
        <v>304</v>
      </c>
      <c r="G122" s="1" t="s">
        <v>305</v>
      </c>
      <c r="H122">
        <v>402</v>
      </c>
      <c r="I122">
        <v>1</v>
      </c>
      <c r="J122">
        <v>0.26100000000000001</v>
      </c>
      <c r="K122" s="1" t="s">
        <v>306</v>
      </c>
      <c r="L122">
        <v>402</v>
      </c>
      <c r="M122" s="1" t="s">
        <v>307</v>
      </c>
      <c r="N122">
        <v>1</v>
      </c>
      <c r="O122">
        <v>0.1</v>
      </c>
      <c r="P122" s="1" t="s">
        <v>306</v>
      </c>
      <c r="Q122">
        <v>402</v>
      </c>
      <c r="R122" s="1" t="s">
        <v>308</v>
      </c>
      <c r="S122">
        <v>1</v>
      </c>
      <c r="T122">
        <v>0.19</v>
      </c>
      <c r="U122" s="1" t="s">
        <v>306</v>
      </c>
      <c r="V122">
        <v>402</v>
      </c>
      <c r="W122" s="1" t="s">
        <v>309</v>
      </c>
      <c r="X122">
        <v>1</v>
      </c>
      <c r="Y122">
        <v>3.7999999999999999E-2</v>
      </c>
      <c r="Z122" s="1" t="s">
        <v>306</v>
      </c>
      <c r="AA122">
        <v>402</v>
      </c>
      <c r="AB122" s="1" t="s">
        <v>310</v>
      </c>
      <c r="AC122">
        <v>1</v>
      </c>
      <c r="AD122">
        <v>11.137790000000001</v>
      </c>
      <c r="AE122" s="1" t="s">
        <v>311</v>
      </c>
      <c r="AF122">
        <v>402</v>
      </c>
      <c r="AG122" s="1" t="s">
        <v>312</v>
      </c>
      <c r="AH122">
        <v>1</v>
      </c>
      <c r="AI122">
        <v>9.8000000000000004E-2</v>
      </c>
      <c r="AJ122" s="1" t="s">
        <v>306</v>
      </c>
      <c r="AK122">
        <v>402</v>
      </c>
      <c r="AL122" s="1" t="s">
        <v>313</v>
      </c>
      <c r="AM122">
        <v>1</v>
      </c>
      <c r="AN122">
        <v>0</v>
      </c>
      <c r="AO122" s="1" t="s">
        <v>306</v>
      </c>
      <c r="AP122">
        <v>402</v>
      </c>
      <c r="AQ122" s="1" t="s">
        <v>314</v>
      </c>
      <c r="AR122">
        <v>1</v>
      </c>
      <c r="AS122">
        <v>0.62</v>
      </c>
      <c r="AT122" s="1" t="s">
        <v>306</v>
      </c>
      <c r="AU122">
        <v>402</v>
      </c>
      <c r="AV122" s="1" t="s">
        <v>315</v>
      </c>
      <c r="AW122">
        <v>1</v>
      </c>
      <c r="AX122" t="b">
        <v>0</v>
      </c>
      <c r="AY122" s="1" t="s">
        <v>316</v>
      </c>
      <c r="AZ122">
        <v>402</v>
      </c>
      <c r="BA122" s="1" t="s">
        <v>317</v>
      </c>
    </row>
    <row r="123" spans="1:53" x14ac:dyDescent="0.25">
      <c r="A123">
        <v>43</v>
      </c>
      <c r="B123" s="1" t="s">
        <v>95</v>
      </c>
      <c r="C123">
        <v>218</v>
      </c>
      <c r="D123">
        <v>17.83642</v>
      </c>
      <c r="E123" t="b">
        <v>0</v>
      </c>
      <c r="F123" s="1">
        <v>218</v>
      </c>
      <c r="G123" s="1" t="s">
        <v>305</v>
      </c>
      <c r="H123">
        <v>218</v>
      </c>
      <c r="I123">
        <v>1</v>
      </c>
      <c r="J123">
        <v>0.17199999999999999</v>
      </c>
      <c r="K123" s="1" t="s">
        <v>306</v>
      </c>
      <c r="L123">
        <v>218</v>
      </c>
      <c r="M123" s="1" t="s">
        <v>307</v>
      </c>
      <c r="N123">
        <v>1</v>
      </c>
      <c r="O123">
        <v>6.5000000000000002E-2</v>
      </c>
      <c r="P123" s="1" t="s">
        <v>306</v>
      </c>
      <c r="Q123">
        <v>218</v>
      </c>
      <c r="R123" s="1" t="s">
        <v>308</v>
      </c>
      <c r="S123">
        <v>1</v>
      </c>
      <c r="T123">
        <v>0.35499999999999998</v>
      </c>
      <c r="U123" s="1" t="s">
        <v>306</v>
      </c>
      <c r="V123">
        <v>218</v>
      </c>
      <c r="W123" s="1" t="s">
        <v>309</v>
      </c>
      <c r="X123">
        <v>1</v>
      </c>
      <c r="Y123">
        <v>5.2999999999999999E-2</v>
      </c>
      <c r="Z123" s="1" t="s">
        <v>306</v>
      </c>
      <c r="AA123">
        <v>218</v>
      </c>
      <c r="AB123" s="1" t="s">
        <v>310</v>
      </c>
      <c r="AC123">
        <v>1</v>
      </c>
      <c r="AD123">
        <v>17.83642</v>
      </c>
      <c r="AE123" s="1" t="s">
        <v>311</v>
      </c>
      <c r="AF123">
        <v>218</v>
      </c>
      <c r="AG123" s="1" t="s">
        <v>312</v>
      </c>
      <c r="AH123">
        <v>1</v>
      </c>
      <c r="AI123">
        <v>4.3999999999999997E-2</v>
      </c>
      <c r="AJ123" s="1" t="s">
        <v>306</v>
      </c>
      <c r="AK123">
        <v>218</v>
      </c>
      <c r="AL123" s="1" t="s">
        <v>313</v>
      </c>
      <c r="AM123">
        <v>1</v>
      </c>
      <c r="AN123">
        <v>0</v>
      </c>
      <c r="AO123" s="1" t="s">
        <v>306</v>
      </c>
      <c r="AP123">
        <v>218</v>
      </c>
      <c r="AQ123" s="1" t="s">
        <v>314</v>
      </c>
      <c r="AR123">
        <v>1</v>
      </c>
      <c r="AS123">
        <v>0.91100000000000003</v>
      </c>
      <c r="AT123" s="1" t="s">
        <v>306</v>
      </c>
      <c r="AU123">
        <v>218</v>
      </c>
      <c r="AV123" s="1" t="s">
        <v>315</v>
      </c>
      <c r="AW123">
        <v>1</v>
      </c>
      <c r="AX123" t="b">
        <v>0</v>
      </c>
      <c r="AY123" s="1" t="s">
        <v>316</v>
      </c>
      <c r="AZ123">
        <v>218</v>
      </c>
      <c r="BA123" s="1" t="s">
        <v>317</v>
      </c>
    </row>
    <row r="124" spans="1:53" x14ac:dyDescent="0.25">
      <c r="A124">
        <v>40</v>
      </c>
      <c r="B124" s="1" t="s">
        <v>92</v>
      </c>
      <c r="C124">
        <v>215</v>
      </c>
      <c r="D124">
        <v>18.271989999999999</v>
      </c>
      <c r="E124" t="b">
        <v>0</v>
      </c>
      <c r="F124" s="1">
        <v>215</v>
      </c>
      <c r="G124" s="1" t="s">
        <v>305</v>
      </c>
      <c r="H124">
        <v>215</v>
      </c>
      <c r="I124">
        <v>1</v>
      </c>
      <c r="J124">
        <v>0.17699999999999999</v>
      </c>
      <c r="K124" s="1" t="s">
        <v>306</v>
      </c>
      <c r="L124">
        <v>215</v>
      </c>
      <c r="M124" s="1" t="s">
        <v>307</v>
      </c>
      <c r="N124">
        <v>1</v>
      </c>
      <c r="O124">
        <v>7.0000000000000007E-2</v>
      </c>
      <c r="P124" s="1" t="s">
        <v>306</v>
      </c>
      <c r="Q124">
        <v>215</v>
      </c>
      <c r="R124" s="1" t="s">
        <v>308</v>
      </c>
      <c r="S124">
        <v>1</v>
      </c>
      <c r="T124">
        <v>0.41860000000000003</v>
      </c>
      <c r="U124" s="1" t="s">
        <v>306</v>
      </c>
      <c r="V124">
        <v>215</v>
      </c>
      <c r="W124" s="1" t="s">
        <v>309</v>
      </c>
      <c r="X124">
        <v>1</v>
      </c>
      <c r="Y124">
        <v>4.9000000000000002E-2</v>
      </c>
      <c r="Z124" s="1" t="s">
        <v>306</v>
      </c>
      <c r="AA124">
        <v>215</v>
      </c>
      <c r="AB124" s="1" t="s">
        <v>310</v>
      </c>
      <c r="AC124">
        <v>1</v>
      </c>
      <c r="AD124">
        <v>18.271989999999999</v>
      </c>
      <c r="AE124" s="1" t="s">
        <v>311</v>
      </c>
      <c r="AF124">
        <v>215</v>
      </c>
      <c r="AG124" s="1" t="s">
        <v>312</v>
      </c>
      <c r="AH124">
        <v>1</v>
      </c>
      <c r="AI124">
        <v>3.8300000000000001E-2</v>
      </c>
      <c r="AJ124" s="1" t="s">
        <v>306</v>
      </c>
      <c r="AK124">
        <v>215</v>
      </c>
      <c r="AL124" s="1" t="s">
        <v>313</v>
      </c>
      <c r="AM124">
        <v>1</v>
      </c>
      <c r="AN124">
        <v>0</v>
      </c>
      <c r="AO124" s="1" t="s">
        <v>306</v>
      </c>
      <c r="AP124">
        <v>215</v>
      </c>
      <c r="AQ124" s="1" t="s">
        <v>314</v>
      </c>
      <c r="AR124">
        <v>1</v>
      </c>
      <c r="AS124">
        <v>0.91100000000000003</v>
      </c>
      <c r="AT124" s="1" t="s">
        <v>306</v>
      </c>
      <c r="AU124">
        <v>215</v>
      </c>
      <c r="AV124" s="1" t="s">
        <v>315</v>
      </c>
      <c r="AW124">
        <v>1</v>
      </c>
      <c r="AX124" t="b">
        <v>0</v>
      </c>
      <c r="AY124" s="1" t="s">
        <v>316</v>
      </c>
      <c r="AZ124">
        <v>215</v>
      </c>
      <c r="BA124" s="1" t="s">
        <v>317</v>
      </c>
    </row>
    <row r="125" spans="1:53" x14ac:dyDescent="0.25">
      <c r="A125">
        <v>233</v>
      </c>
      <c r="B125" s="1" t="s">
        <v>284</v>
      </c>
      <c r="C125">
        <v>730</v>
      </c>
      <c r="D125">
        <v>1</v>
      </c>
      <c r="E125" t="b">
        <v>0</v>
      </c>
      <c r="F125" s="1" t="s">
        <v>304</v>
      </c>
      <c r="G125" s="1" t="s">
        <v>305</v>
      </c>
      <c r="H125">
        <v>730</v>
      </c>
      <c r="I125">
        <v>1</v>
      </c>
      <c r="J125">
        <v>0</v>
      </c>
      <c r="K125" s="1" t="s">
        <v>306</v>
      </c>
      <c r="L125">
        <v>730</v>
      </c>
      <c r="M125" s="1" t="s">
        <v>307</v>
      </c>
      <c r="N125">
        <v>1</v>
      </c>
      <c r="P125" s="1" t="s">
        <v>306</v>
      </c>
      <c r="Q125">
        <v>730</v>
      </c>
      <c r="R125" s="1" t="s">
        <v>308</v>
      </c>
      <c r="S125">
        <v>1</v>
      </c>
      <c r="T125">
        <v>0</v>
      </c>
      <c r="U125" s="1" t="s">
        <v>306</v>
      </c>
      <c r="V125">
        <v>730</v>
      </c>
      <c r="W125" s="1" t="s">
        <v>309</v>
      </c>
      <c r="X125">
        <v>1</v>
      </c>
      <c r="Z125" s="1" t="s">
        <v>306</v>
      </c>
      <c r="AA125">
        <v>730</v>
      </c>
      <c r="AB125" s="1" t="s">
        <v>310</v>
      </c>
      <c r="AC125">
        <v>1</v>
      </c>
      <c r="AD125">
        <v>0</v>
      </c>
      <c r="AE125" s="1" t="s">
        <v>311</v>
      </c>
      <c r="AF125">
        <v>730</v>
      </c>
      <c r="AG125" s="1" t="s">
        <v>312</v>
      </c>
      <c r="AH125">
        <v>1</v>
      </c>
      <c r="AI125">
        <v>0.9</v>
      </c>
      <c r="AJ125" s="1" t="s">
        <v>306</v>
      </c>
      <c r="AK125">
        <v>730</v>
      </c>
      <c r="AL125" s="1" t="s">
        <v>313</v>
      </c>
      <c r="AM125">
        <v>1</v>
      </c>
      <c r="AN125">
        <v>0</v>
      </c>
      <c r="AO125" s="1" t="s">
        <v>306</v>
      </c>
      <c r="AP125">
        <v>730</v>
      </c>
      <c r="AQ125" s="1" t="s">
        <v>314</v>
      </c>
      <c r="AR125">
        <v>1</v>
      </c>
      <c r="AT125" s="1" t="s">
        <v>306</v>
      </c>
      <c r="AU125">
        <v>730</v>
      </c>
      <c r="AV125" s="1" t="s">
        <v>315</v>
      </c>
      <c r="AW125">
        <v>1</v>
      </c>
      <c r="AX125" t="b">
        <v>0</v>
      </c>
      <c r="AY125" s="1" t="s">
        <v>316</v>
      </c>
      <c r="AZ125">
        <v>730</v>
      </c>
      <c r="BA125" s="1" t="s">
        <v>317</v>
      </c>
    </row>
    <row r="126" spans="1:53" x14ac:dyDescent="0.25">
      <c r="A126">
        <v>234</v>
      </c>
      <c r="B126" s="1" t="s">
        <v>285</v>
      </c>
      <c r="C126">
        <v>731</v>
      </c>
      <c r="D126">
        <v>1</v>
      </c>
      <c r="E126" t="b">
        <v>0</v>
      </c>
      <c r="F126" s="1" t="s">
        <v>304</v>
      </c>
      <c r="G126" s="1" t="s">
        <v>305</v>
      </c>
      <c r="H126">
        <v>731</v>
      </c>
      <c r="I126">
        <v>1</v>
      </c>
      <c r="J126">
        <v>0</v>
      </c>
      <c r="K126" s="1" t="s">
        <v>306</v>
      </c>
      <c r="L126">
        <v>731</v>
      </c>
      <c r="M126" s="1" t="s">
        <v>307</v>
      </c>
      <c r="N126">
        <v>1</v>
      </c>
      <c r="P126" s="1" t="s">
        <v>306</v>
      </c>
      <c r="Q126">
        <v>731</v>
      </c>
      <c r="R126" s="1" t="s">
        <v>308</v>
      </c>
      <c r="S126">
        <v>1</v>
      </c>
      <c r="T126">
        <v>0</v>
      </c>
      <c r="U126" s="1" t="s">
        <v>306</v>
      </c>
      <c r="V126">
        <v>731</v>
      </c>
      <c r="W126" s="1" t="s">
        <v>309</v>
      </c>
      <c r="X126">
        <v>1</v>
      </c>
      <c r="Z126" s="1" t="s">
        <v>306</v>
      </c>
      <c r="AA126">
        <v>731</v>
      </c>
      <c r="AB126" s="1" t="s">
        <v>310</v>
      </c>
      <c r="AC126">
        <v>1</v>
      </c>
      <c r="AD126">
        <v>0</v>
      </c>
      <c r="AE126" s="1" t="s">
        <v>311</v>
      </c>
      <c r="AF126">
        <v>731</v>
      </c>
      <c r="AG126" s="1" t="s">
        <v>312</v>
      </c>
      <c r="AH126">
        <v>1</v>
      </c>
      <c r="AI126">
        <v>0.9</v>
      </c>
      <c r="AJ126" s="1" t="s">
        <v>306</v>
      </c>
      <c r="AK126">
        <v>731</v>
      </c>
      <c r="AL126" s="1" t="s">
        <v>313</v>
      </c>
      <c r="AM126">
        <v>1</v>
      </c>
      <c r="AN126">
        <v>0</v>
      </c>
      <c r="AO126" s="1" t="s">
        <v>306</v>
      </c>
      <c r="AP126">
        <v>731</v>
      </c>
      <c r="AQ126" s="1" t="s">
        <v>314</v>
      </c>
      <c r="AR126">
        <v>1</v>
      </c>
      <c r="AT126" s="1" t="s">
        <v>306</v>
      </c>
      <c r="AU126">
        <v>731</v>
      </c>
      <c r="AV126" s="1" t="s">
        <v>315</v>
      </c>
      <c r="AW126">
        <v>1</v>
      </c>
      <c r="AX126" t="b">
        <v>0</v>
      </c>
      <c r="AY126" s="1" t="s">
        <v>316</v>
      </c>
      <c r="AZ126">
        <v>731</v>
      </c>
      <c r="BA126" s="1" t="s">
        <v>317</v>
      </c>
    </row>
    <row r="127" spans="1:53" x14ac:dyDescent="0.25">
      <c r="A127">
        <v>31</v>
      </c>
      <c r="B127" s="1" t="s">
        <v>83</v>
      </c>
      <c r="C127">
        <v>204</v>
      </c>
      <c r="D127">
        <v>16.113</v>
      </c>
      <c r="E127" t="b">
        <v>1</v>
      </c>
      <c r="F127" s="1">
        <v>204</v>
      </c>
      <c r="G127" s="1" t="s">
        <v>305</v>
      </c>
      <c r="H127">
        <v>204</v>
      </c>
      <c r="I127">
        <v>1</v>
      </c>
      <c r="J127">
        <v>2.3E-2</v>
      </c>
      <c r="K127" s="1" t="s">
        <v>306</v>
      </c>
      <c r="L127">
        <v>204</v>
      </c>
      <c r="M127" s="1" t="s">
        <v>307</v>
      </c>
      <c r="N127">
        <v>1</v>
      </c>
      <c r="O127">
        <v>0.72899999999999998</v>
      </c>
      <c r="P127" s="1" t="s">
        <v>306</v>
      </c>
      <c r="Q127">
        <v>204</v>
      </c>
      <c r="R127" s="1" t="s">
        <v>308</v>
      </c>
      <c r="S127">
        <v>1</v>
      </c>
      <c r="T127">
        <v>9.0000999999999998E-2</v>
      </c>
      <c r="U127" s="1" t="s">
        <v>306</v>
      </c>
      <c r="V127">
        <v>204</v>
      </c>
      <c r="W127" s="1" t="s">
        <v>309</v>
      </c>
      <c r="X127">
        <v>1</v>
      </c>
      <c r="Y127">
        <v>4.5999999999999999E-2</v>
      </c>
      <c r="Z127" s="1" t="s">
        <v>306</v>
      </c>
      <c r="AA127">
        <v>204</v>
      </c>
      <c r="AB127" s="1" t="s">
        <v>310</v>
      </c>
      <c r="AC127">
        <v>1</v>
      </c>
      <c r="AD127">
        <v>16.113</v>
      </c>
      <c r="AE127" s="1" t="s">
        <v>311</v>
      </c>
      <c r="AF127">
        <v>204</v>
      </c>
      <c r="AG127" s="1" t="s">
        <v>312</v>
      </c>
      <c r="AH127">
        <v>1</v>
      </c>
      <c r="AI127">
        <v>1.4999999999999999E-2</v>
      </c>
      <c r="AJ127" s="1" t="s">
        <v>306</v>
      </c>
      <c r="AK127">
        <v>204</v>
      </c>
      <c r="AL127" s="1" t="s">
        <v>313</v>
      </c>
      <c r="AM127">
        <v>1</v>
      </c>
      <c r="AN127">
        <v>0</v>
      </c>
      <c r="AO127" s="1" t="s">
        <v>306</v>
      </c>
      <c r="AP127">
        <v>204</v>
      </c>
      <c r="AQ127" s="1" t="s">
        <v>314</v>
      </c>
      <c r="AR127">
        <v>1</v>
      </c>
      <c r="AS127">
        <v>0.89</v>
      </c>
      <c r="AT127" s="1" t="s">
        <v>306</v>
      </c>
      <c r="AU127">
        <v>204</v>
      </c>
      <c r="AV127" s="1" t="s">
        <v>315</v>
      </c>
      <c r="AW127">
        <v>1</v>
      </c>
      <c r="AX127" t="b">
        <v>0</v>
      </c>
      <c r="AY127" s="1" t="s">
        <v>316</v>
      </c>
      <c r="AZ127">
        <v>204</v>
      </c>
      <c r="BA127" s="1" t="s">
        <v>317</v>
      </c>
    </row>
    <row r="128" spans="1:53" x14ac:dyDescent="0.25">
      <c r="A128">
        <v>200</v>
      </c>
      <c r="B128" s="1" t="s">
        <v>252</v>
      </c>
      <c r="C128">
        <v>592</v>
      </c>
      <c r="D128">
        <v>1</v>
      </c>
      <c r="E128" t="b">
        <v>1</v>
      </c>
      <c r="F128" s="1" t="s">
        <v>304</v>
      </c>
      <c r="G128" s="1" t="s">
        <v>305</v>
      </c>
      <c r="H128">
        <v>592</v>
      </c>
      <c r="I128">
        <v>1</v>
      </c>
      <c r="J128">
        <v>0.182</v>
      </c>
      <c r="K128" s="1" t="s">
        <v>306</v>
      </c>
      <c r="L128">
        <v>592</v>
      </c>
      <c r="M128" s="1" t="s">
        <v>307</v>
      </c>
      <c r="N128">
        <v>1</v>
      </c>
      <c r="O128">
        <v>0.32700000000000001</v>
      </c>
      <c r="P128" s="1" t="s">
        <v>306</v>
      </c>
      <c r="Q128">
        <v>592</v>
      </c>
      <c r="R128" s="1" t="s">
        <v>308</v>
      </c>
      <c r="S128">
        <v>1</v>
      </c>
      <c r="T128">
        <v>0.08</v>
      </c>
      <c r="U128" s="1" t="s">
        <v>306</v>
      </c>
      <c r="V128">
        <v>592</v>
      </c>
      <c r="W128" s="1" t="s">
        <v>309</v>
      </c>
      <c r="X128">
        <v>1</v>
      </c>
      <c r="Y128">
        <v>2.1999999999999999E-2</v>
      </c>
      <c r="Z128" s="1" t="s">
        <v>306</v>
      </c>
      <c r="AA128">
        <v>592</v>
      </c>
      <c r="AB128" s="1" t="s">
        <v>310</v>
      </c>
      <c r="AC128">
        <v>1</v>
      </c>
      <c r="AD128">
        <v>13.47622</v>
      </c>
      <c r="AE128" s="1" t="s">
        <v>311</v>
      </c>
      <c r="AF128">
        <v>592</v>
      </c>
      <c r="AG128" s="1" t="s">
        <v>312</v>
      </c>
      <c r="AH128">
        <v>1</v>
      </c>
      <c r="AI128">
        <v>3.7999999999999999E-2</v>
      </c>
      <c r="AJ128" s="1" t="s">
        <v>306</v>
      </c>
      <c r="AK128">
        <v>592</v>
      </c>
      <c r="AL128" s="1" t="s">
        <v>313</v>
      </c>
      <c r="AM128">
        <v>1</v>
      </c>
      <c r="AN128">
        <v>0</v>
      </c>
      <c r="AO128" s="1" t="s">
        <v>306</v>
      </c>
      <c r="AP128">
        <v>592</v>
      </c>
      <c r="AQ128" s="1" t="s">
        <v>314</v>
      </c>
      <c r="AR128">
        <v>1</v>
      </c>
      <c r="AS128">
        <v>0.78</v>
      </c>
      <c r="AT128" s="1" t="s">
        <v>306</v>
      </c>
      <c r="AU128">
        <v>592</v>
      </c>
      <c r="AV128" s="1" t="s">
        <v>315</v>
      </c>
      <c r="AW128">
        <v>1</v>
      </c>
      <c r="AX128" t="b">
        <v>0</v>
      </c>
      <c r="AY128" s="1" t="s">
        <v>316</v>
      </c>
      <c r="AZ128">
        <v>592</v>
      </c>
      <c r="BA128" s="1" t="s">
        <v>317</v>
      </c>
    </row>
    <row r="129" spans="1:53" x14ac:dyDescent="0.25">
      <c r="A129">
        <v>202</v>
      </c>
      <c r="B129" s="1" t="s">
        <v>254</v>
      </c>
      <c r="C129">
        <v>594</v>
      </c>
      <c r="D129">
        <v>1</v>
      </c>
      <c r="E129" t="b">
        <v>1</v>
      </c>
      <c r="F129" s="1" t="s">
        <v>304</v>
      </c>
      <c r="G129" s="1" t="s">
        <v>305</v>
      </c>
      <c r="H129">
        <v>594</v>
      </c>
      <c r="I129">
        <v>1</v>
      </c>
      <c r="J129">
        <v>0.224</v>
      </c>
      <c r="K129" s="1" t="s">
        <v>306</v>
      </c>
      <c r="L129">
        <v>594</v>
      </c>
      <c r="M129" s="1" t="s">
        <v>307</v>
      </c>
      <c r="N129">
        <v>1</v>
      </c>
      <c r="O129">
        <v>0.26400000000000001</v>
      </c>
      <c r="P129" s="1" t="s">
        <v>306</v>
      </c>
      <c r="Q129">
        <v>594</v>
      </c>
      <c r="R129" s="1" t="s">
        <v>308</v>
      </c>
      <c r="S129">
        <v>1</v>
      </c>
      <c r="T129">
        <v>0.08</v>
      </c>
      <c r="U129" s="1" t="s">
        <v>306</v>
      </c>
      <c r="V129">
        <v>594</v>
      </c>
      <c r="W129" s="1" t="s">
        <v>309</v>
      </c>
      <c r="X129">
        <v>1</v>
      </c>
      <c r="Y129">
        <v>2.1999999999999999E-2</v>
      </c>
      <c r="Z129" s="1" t="s">
        <v>306</v>
      </c>
      <c r="AA129">
        <v>594</v>
      </c>
      <c r="AB129" s="1" t="s">
        <v>310</v>
      </c>
      <c r="AC129">
        <v>1</v>
      </c>
      <c r="AD129">
        <v>12.440300000000001</v>
      </c>
      <c r="AE129" s="1" t="s">
        <v>311</v>
      </c>
      <c r="AF129">
        <v>594</v>
      </c>
      <c r="AG129" s="1" t="s">
        <v>312</v>
      </c>
      <c r="AH129">
        <v>1</v>
      </c>
      <c r="AI129">
        <v>4.1000000000000002E-2</v>
      </c>
      <c r="AJ129" s="1" t="s">
        <v>306</v>
      </c>
      <c r="AK129">
        <v>594</v>
      </c>
      <c r="AL129" s="1" t="s">
        <v>313</v>
      </c>
      <c r="AM129">
        <v>1</v>
      </c>
      <c r="AN129">
        <v>0</v>
      </c>
      <c r="AO129" s="1" t="s">
        <v>306</v>
      </c>
      <c r="AP129">
        <v>594</v>
      </c>
      <c r="AQ129" s="1" t="s">
        <v>314</v>
      </c>
      <c r="AR129">
        <v>1</v>
      </c>
      <c r="AS129">
        <v>0.72</v>
      </c>
      <c r="AT129" s="1" t="s">
        <v>306</v>
      </c>
      <c r="AU129">
        <v>594</v>
      </c>
      <c r="AV129" s="1" t="s">
        <v>315</v>
      </c>
      <c r="AW129">
        <v>1</v>
      </c>
      <c r="AX129" t="b">
        <v>0</v>
      </c>
      <c r="AY129" s="1" t="s">
        <v>316</v>
      </c>
      <c r="AZ129">
        <v>594</v>
      </c>
      <c r="BA129" s="1" t="s">
        <v>317</v>
      </c>
    </row>
    <row r="130" spans="1:53" x14ac:dyDescent="0.25">
      <c r="A130">
        <v>201</v>
      </c>
      <c r="B130" s="1" t="s">
        <v>253</v>
      </c>
      <c r="C130">
        <v>593</v>
      </c>
      <c r="D130">
        <v>1</v>
      </c>
      <c r="E130" t="b">
        <v>1</v>
      </c>
      <c r="F130" s="1" t="s">
        <v>304</v>
      </c>
      <c r="G130" s="1" t="s">
        <v>305</v>
      </c>
      <c r="H130">
        <v>593</v>
      </c>
      <c r="I130">
        <v>1</v>
      </c>
      <c r="J130">
        <v>0.19700000000000001</v>
      </c>
      <c r="K130" s="1" t="s">
        <v>306</v>
      </c>
      <c r="L130">
        <v>593</v>
      </c>
      <c r="M130" s="1" t="s">
        <v>307</v>
      </c>
      <c r="N130">
        <v>1</v>
      </c>
      <c r="O130">
        <v>0.31</v>
      </c>
      <c r="P130" s="1" t="s">
        <v>306</v>
      </c>
      <c r="Q130">
        <v>593</v>
      </c>
      <c r="R130" s="1" t="s">
        <v>308</v>
      </c>
      <c r="S130">
        <v>1</v>
      </c>
      <c r="T130">
        <v>0.08</v>
      </c>
      <c r="U130" s="1" t="s">
        <v>306</v>
      </c>
      <c r="V130">
        <v>593</v>
      </c>
      <c r="W130" s="1" t="s">
        <v>309</v>
      </c>
      <c r="X130">
        <v>1</v>
      </c>
      <c r="Y130">
        <v>2.1999999999999999E-2</v>
      </c>
      <c r="Z130" s="1" t="s">
        <v>306</v>
      </c>
      <c r="AA130">
        <v>593</v>
      </c>
      <c r="AB130" s="1" t="s">
        <v>310</v>
      </c>
      <c r="AC130">
        <v>1</v>
      </c>
      <c r="AD130">
        <v>13.047090000000001</v>
      </c>
      <c r="AE130" s="1" t="s">
        <v>311</v>
      </c>
      <c r="AF130">
        <v>593</v>
      </c>
      <c r="AG130" s="1" t="s">
        <v>312</v>
      </c>
      <c r="AH130">
        <v>1</v>
      </c>
      <c r="AI130">
        <v>3.9E-2</v>
      </c>
      <c r="AJ130" s="1" t="s">
        <v>306</v>
      </c>
      <c r="AK130">
        <v>593</v>
      </c>
      <c r="AL130" s="1" t="s">
        <v>313</v>
      </c>
      <c r="AM130">
        <v>1</v>
      </c>
      <c r="AN130">
        <v>0</v>
      </c>
      <c r="AO130" s="1" t="s">
        <v>306</v>
      </c>
      <c r="AP130">
        <v>593</v>
      </c>
      <c r="AQ130" s="1" t="s">
        <v>314</v>
      </c>
      <c r="AR130">
        <v>1</v>
      </c>
      <c r="AS130">
        <v>0.755</v>
      </c>
      <c r="AT130" s="1" t="s">
        <v>306</v>
      </c>
      <c r="AU130">
        <v>593</v>
      </c>
      <c r="AV130" s="1" t="s">
        <v>315</v>
      </c>
      <c r="AW130">
        <v>1</v>
      </c>
      <c r="AX130" t="b">
        <v>0</v>
      </c>
      <c r="AY130" s="1" t="s">
        <v>316</v>
      </c>
      <c r="AZ130">
        <v>593</v>
      </c>
      <c r="BA130" s="1" t="s">
        <v>317</v>
      </c>
    </row>
    <row r="131" spans="1:53" x14ac:dyDescent="0.25">
      <c r="A131">
        <v>57</v>
      </c>
      <c r="B131" s="1" t="s">
        <v>109</v>
      </c>
      <c r="C131">
        <v>245</v>
      </c>
      <c r="D131">
        <v>13.48433</v>
      </c>
      <c r="E131" t="b">
        <v>0</v>
      </c>
      <c r="F131" s="1">
        <v>245</v>
      </c>
      <c r="G131" s="1" t="s">
        <v>305</v>
      </c>
      <c r="H131">
        <v>245</v>
      </c>
      <c r="I131">
        <v>1</v>
      </c>
      <c r="J131">
        <v>0.115</v>
      </c>
      <c r="K131" s="1" t="s">
        <v>306</v>
      </c>
      <c r="L131">
        <v>245</v>
      </c>
      <c r="M131" s="1" t="s">
        <v>307</v>
      </c>
      <c r="N131">
        <v>1</v>
      </c>
      <c r="O131">
        <v>0.31</v>
      </c>
      <c r="P131" s="1" t="s">
        <v>306</v>
      </c>
      <c r="Q131">
        <v>245</v>
      </c>
      <c r="R131" s="1" t="s">
        <v>308</v>
      </c>
      <c r="S131">
        <v>1</v>
      </c>
      <c r="T131">
        <v>0.19900000000000001</v>
      </c>
      <c r="U131" s="1" t="s">
        <v>306</v>
      </c>
      <c r="V131">
        <v>245</v>
      </c>
      <c r="W131" s="1" t="s">
        <v>309</v>
      </c>
      <c r="X131">
        <v>1</v>
      </c>
      <c r="Y131">
        <v>3.5000000000000003E-2</v>
      </c>
      <c r="Z131" s="1" t="s">
        <v>306</v>
      </c>
      <c r="AA131">
        <v>245</v>
      </c>
      <c r="AB131" s="1" t="s">
        <v>310</v>
      </c>
      <c r="AC131">
        <v>1</v>
      </c>
      <c r="AD131">
        <v>13.48433</v>
      </c>
      <c r="AE131" s="1" t="s">
        <v>311</v>
      </c>
      <c r="AF131">
        <v>245</v>
      </c>
      <c r="AG131" s="1" t="s">
        <v>312</v>
      </c>
      <c r="AH131">
        <v>1</v>
      </c>
      <c r="AI131">
        <v>4.5999999999999999E-2</v>
      </c>
      <c r="AJ131" s="1" t="s">
        <v>306</v>
      </c>
      <c r="AK131">
        <v>245</v>
      </c>
      <c r="AL131" s="1" t="s">
        <v>313</v>
      </c>
      <c r="AM131">
        <v>1</v>
      </c>
      <c r="AN131">
        <v>0</v>
      </c>
      <c r="AO131" s="1" t="s">
        <v>306</v>
      </c>
      <c r="AP131">
        <v>245</v>
      </c>
      <c r="AQ131" s="1" t="s">
        <v>314</v>
      </c>
      <c r="AR131">
        <v>1</v>
      </c>
      <c r="AS131">
        <v>0.7278</v>
      </c>
      <c r="AT131" s="1" t="s">
        <v>306</v>
      </c>
      <c r="AU131">
        <v>245</v>
      </c>
      <c r="AV131" s="1" t="s">
        <v>315</v>
      </c>
      <c r="AW131">
        <v>1</v>
      </c>
      <c r="AX131" t="b">
        <v>0</v>
      </c>
      <c r="AY131" s="1" t="s">
        <v>316</v>
      </c>
      <c r="AZ131">
        <v>245</v>
      </c>
      <c r="BA131" s="1" t="s">
        <v>317</v>
      </c>
    </row>
    <row r="132" spans="1:53" x14ac:dyDescent="0.25">
      <c r="A132">
        <v>56</v>
      </c>
      <c r="B132" s="1" t="s">
        <v>108</v>
      </c>
      <c r="C132">
        <v>244</v>
      </c>
      <c r="D132">
        <v>15.99175</v>
      </c>
      <c r="E132" t="b">
        <v>0</v>
      </c>
      <c r="F132" s="1">
        <v>244</v>
      </c>
      <c r="G132" s="1" t="s">
        <v>305</v>
      </c>
      <c r="H132">
        <v>244</v>
      </c>
      <c r="I132">
        <v>1</v>
      </c>
      <c r="J132">
        <v>3.3000000000000002E-2</v>
      </c>
      <c r="K132" s="1" t="s">
        <v>306</v>
      </c>
      <c r="L132">
        <v>244</v>
      </c>
      <c r="M132" s="1" t="s">
        <v>307</v>
      </c>
      <c r="N132">
        <v>1</v>
      </c>
      <c r="O132">
        <v>0.373</v>
      </c>
      <c r="P132" s="1" t="s">
        <v>306</v>
      </c>
      <c r="Q132">
        <v>244</v>
      </c>
      <c r="R132" s="1" t="s">
        <v>308</v>
      </c>
      <c r="S132">
        <v>1</v>
      </c>
      <c r="T132">
        <v>0.161</v>
      </c>
      <c r="U132" s="1" t="s">
        <v>306</v>
      </c>
      <c r="V132">
        <v>244</v>
      </c>
      <c r="W132" s="1" t="s">
        <v>309</v>
      </c>
      <c r="X132">
        <v>1</v>
      </c>
      <c r="Y132">
        <v>0.21299999999999999</v>
      </c>
      <c r="Z132" s="1" t="s">
        <v>306</v>
      </c>
      <c r="AA132">
        <v>244</v>
      </c>
      <c r="AB132" s="1" t="s">
        <v>310</v>
      </c>
      <c r="AC132">
        <v>1</v>
      </c>
      <c r="AD132">
        <v>15.99175</v>
      </c>
      <c r="AE132" s="1" t="s">
        <v>311</v>
      </c>
      <c r="AF132">
        <v>244</v>
      </c>
      <c r="AG132" s="1" t="s">
        <v>312</v>
      </c>
      <c r="AH132">
        <v>1</v>
      </c>
      <c r="AI132">
        <v>5.8000000000000003E-2</v>
      </c>
      <c r="AJ132" s="1" t="s">
        <v>306</v>
      </c>
      <c r="AK132">
        <v>244</v>
      </c>
      <c r="AL132" s="1" t="s">
        <v>313</v>
      </c>
      <c r="AM132">
        <v>1</v>
      </c>
      <c r="AN132">
        <v>0</v>
      </c>
      <c r="AO132" s="1" t="s">
        <v>306</v>
      </c>
      <c r="AP132">
        <v>244</v>
      </c>
      <c r="AQ132" s="1" t="s">
        <v>314</v>
      </c>
      <c r="AR132">
        <v>1</v>
      </c>
      <c r="AS132">
        <v>0.72965000000000002</v>
      </c>
      <c r="AT132" s="1" t="s">
        <v>306</v>
      </c>
      <c r="AU132">
        <v>244</v>
      </c>
      <c r="AV132" s="1" t="s">
        <v>315</v>
      </c>
      <c r="AW132">
        <v>1</v>
      </c>
      <c r="AX132" t="b">
        <v>0</v>
      </c>
      <c r="AY132" s="1" t="s">
        <v>316</v>
      </c>
      <c r="AZ132">
        <v>244</v>
      </c>
      <c r="BA132" s="1" t="s">
        <v>317</v>
      </c>
    </row>
    <row r="133" spans="1:53" x14ac:dyDescent="0.25">
      <c r="A133">
        <v>58</v>
      </c>
      <c r="B133" s="1" t="s">
        <v>110</v>
      </c>
      <c r="C133">
        <v>246</v>
      </c>
      <c r="D133">
        <v>16.31739</v>
      </c>
      <c r="E133" t="b">
        <v>0</v>
      </c>
      <c r="F133" s="1">
        <v>246</v>
      </c>
      <c r="G133" s="1" t="s">
        <v>305</v>
      </c>
      <c r="H133">
        <v>246</v>
      </c>
      <c r="I133">
        <v>1</v>
      </c>
      <c r="J133">
        <v>6.0000000000000001E-3</v>
      </c>
      <c r="K133" s="1" t="s">
        <v>306</v>
      </c>
      <c r="L133">
        <v>246</v>
      </c>
      <c r="M133" s="1" t="s">
        <v>307</v>
      </c>
      <c r="N133">
        <v>1</v>
      </c>
      <c r="O133">
        <v>0.82799999999999996</v>
      </c>
      <c r="P133" s="1" t="s">
        <v>306</v>
      </c>
      <c r="Q133">
        <v>246</v>
      </c>
      <c r="R133" s="1" t="s">
        <v>308</v>
      </c>
      <c r="S133">
        <v>1</v>
      </c>
      <c r="T133">
        <v>0.105</v>
      </c>
      <c r="U133" s="1" t="s">
        <v>306</v>
      </c>
      <c r="V133">
        <v>246</v>
      </c>
      <c r="W133" s="1" t="s">
        <v>309</v>
      </c>
      <c r="X133">
        <v>1</v>
      </c>
      <c r="Y133">
        <v>2.1000000000000001E-2</v>
      </c>
      <c r="Z133" s="1" t="s">
        <v>306</v>
      </c>
      <c r="AA133">
        <v>246</v>
      </c>
      <c r="AB133" s="1" t="s">
        <v>310</v>
      </c>
      <c r="AC133">
        <v>1</v>
      </c>
      <c r="AD133">
        <v>16.31739</v>
      </c>
      <c r="AE133" s="1" t="s">
        <v>311</v>
      </c>
      <c r="AF133">
        <v>246</v>
      </c>
      <c r="AG133" s="1" t="s">
        <v>312</v>
      </c>
      <c r="AH133">
        <v>1</v>
      </c>
      <c r="AI133">
        <v>6.0000000000000001E-3</v>
      </c>
      <c r="AJ133" s="1" t="s">
        <v>306</v>
      </c>
      <c r="AK133">
        <v>246</v>
      </c>
      <c r="AL133" s="1" t="s">
        <v>313</v>
      </c>
      <c r="AM133">
        <v>1</v>
      </c>
      <c r="AN133">
        <v>0</v>
      </c>
      <c r="AO133" s="1" t="s">
        <v>306</v>
      </c>
      <c r="AP133">
        <v>246</v>
      </c>
      <c r="AQ133" s="1" t="s">
        <v>314</v>
      </c>
      <c r="AR133">
        <v>1</v>
      </c>
      <c r="AS133">
        <v>0.91166999999999998</v>
      </c>
      <c r="AT133" s="1" t="s">
        <v>306</v>
      </c>
      <c r="AU133">
        <v>246</v>
      </c>
      <c r="AV133" s="1" t="s">
        <v>315</v>
      </c>
      <c r="AW133">
        <v>1</v>
      </c>
      <c r="AX133" t="b">
        <v>0</v>
      </c>
      <c r="AY133" s="1" t="s">
        <v>316</v>
      </c>
      <c r="AZ133">
        <v>246</v>
      </c>
      <c r="BA133" s="1" t="s">
        <v>317</v>
      </c>
    </row>
    <row r="134" spans="1:53" x14ac:dyDescent="0.25">
      <c r="A134">
        <v>59</v>
      </c>
      <c r="B134" s="1" t="s">
        <v>111</v>
      </c>
      <c r="C134">
        <v>247</v>
      </c>
      <c r="D134">
        <v>15.57221</v>
      </c>
      <c r="E134" t="b">
        <v>0</v>
      </c>
      <c r="F134" s="1">
        <v>247</v>
      </c>
      <c r="G134" s="1" t="s">
        <v>305</v>
      </c>
      <c r="H134">
        <v>247</v>
      </c>
      <c r="I134">
        <v>1</v>
      </c>
      <c r="J134">
        <v>3.0000000000000001E-3</v>
      </c>
      <c r="K134" s="1" t="s">
        <v>306</v>
      </c>
      <c r="L134">
        <v>247</v>
      </c>
      <c r="M134" s="1" t="s">
        <v>307</v>
      </c>
      <c r="N134">
        <v>1</v>
      </c>
      <c r="O134">
        <v>0.96499999999999997</v>
      </c>
      <c r="P134" s="1" t="s">
        <v>306</v>
      </c>
      <c r="Q134">
        <v>247</v>
      </c>
      <c r="R134" s="1" t="s">
        <v>308</v>
      </c>
      <c r="S134">
        <v>1</v>
      </c>
      <c r="T134">
        <v>5.0000000000000001E-3</v>
      </c>
      <c r="U134" s="1" t="s">
        <v>306</v>
      </c>
      <c r="V134">
        <v>247</v>
      </c>
      <c r="W134" s="1" t="s">
        <v>309</v>
      </c>
      <c r="X134">
        <v>1</v>
      </c>
      <c r="Y134">
        <v>1E-3</v>
      </c>
      <c r="Z134" s="1" t="s">
        <v>306</v>
      </c>
      <c r="AA134">
        <v>247</v>
      </c>
      <c r="AB134" s="1" t="s">
        <v>310</v>
      </c>
      <c r="AC134">
        <v>1</v>
      </c>
      <c r="AD134">
        <v>15.57221</v>
      </c>
      <c r="AE134" s="1" t="s">
        <v>311</v>
      </c>
      <c r="AF134">
        <v>247</v>
      </c>
      <c r="AG134" s="1" t="s">
        <v>312</v>
      </c>
      <c r="AH134">
        <v>1</v>
      </c>
      <c r="AI134">
        <v>1E-3</v>
      </c>
      <c r="AJ134" s="1" t="s">
        <v>306</v>
      </c>
      <c r="AK134">
        <v>247</v>
      </c>
      <c r="AL134" s="1" t="s">
        <v>313</v>
      </c>
      <c r="AM134">
        <v>1</v>
      </c>
      <c r="AN134">
        <v>0</v>
      </c>
      <c r="AO134" s="1" t="s">
        <v>306</v>
      </c>
      <c r="AP134">
        <v>247</v>
      </c>
      <c r="AQ134" s="1" t="s">
        <v>314</v>
      </c>
      <c r="AR134">
        <v>1</v>
      </c>
      <c r="AS134">
        <v>0.92</v>
      </c>
      <c r="AT134" s="1" t="s">
        <v>306</v>
      </c>
      <c r="AU134">
        <v>247</v>
      </c>
      <c r="AV134" s="1" t="s">
        <v>315</v>
      </c>
      <c r="AW134">
        <v>1</v>
      </c>
      <c r="AX134" t="b">
        <v>0</v>
      </c>
      <c r="AY134" s="1" t="s">
        <v>316</v>
      </c>
      <c r="AZ134">
        <v>247</v>
      </c>
      <c r="BA134" s="1" t="s">
        <v>317</v>
      </c>
    </row>
    <row r="135" spans="1:53" x14ac:dyDescent="0.25">
      <c r="A135">
        <v>67</v>
      </c>
      <c r="B135" s="1" t="s">
        <v>119</v>
      </c>
      <c r="C135">
        <v>263</v>
      </c>
      <c r="D135">
        <v>16.945219999999999</v>
      </c>
      <c r="E135" t="b">
        <v>0</v>
      </c>
      <c r="F135" s="1">
        <v>263</v>
      </c>
      <c r="G135" s="1" t="s">
        <v>305</v>
      </c>
      <c r="H135">
        <v>263</v>
      </c>
      <c r="I135">
        <v>1</v>
      </c>
      <c r="J135">
        <v>7.8651680000000002E-2</v>
      </c>
      <c r="K135" s="1" t="s">
        <v>306</v>
      </c>
      <c r="L135">
        <v>263</v>
      </c>
      <c r="M135" s="1" t="s">
        <v>307</v>
      </c>
      <c r="N135">
        <v>1</v>
      </c>
      <c r="O135">
        <v>1.4999999999999999E-2</v>
      </c>
      <c r="P135" s="1" t="s">
        <v>306</v>
      </c>
      <c r="Q135">
        <v>263</v>
      </c>
      <c r="R135" s="1" t="s">
        <v>308</v>
      </c>
      <c r="S135">
        <v>1</v>
      </c>
      <c r="T135">
        <v>0.29213479999999997</v>
      </c>
      <c r="U135" s="1" t="s">
        <v>306</v>
      </c>
      <c r="V135">
        <v>263</v>
      </c>
      <c r="W135" s="1" t="s">
        <v>309</v>
      </c>
      <c r="X135">
        <v>1</v>
      </c>
      <c r="Y135">
        <v>0.1067415</v>
      </c>
      <c r="Z135" s="1" t="s">
        <v>306</v>
      </c>
      <c r="AA135">
        <v>263</v>
      </c>
      <c r="AB135" s="1" t="s">
        <v>310</v>
      </c>
      <c r="AC135">
        <v>1</v>
      </c>
      <c r="AD135">
        <v>16.945219999999999</v>
      </c>
      <c r="AE135" s="1" t="s">
        <v>311</v>
      </c>
      <c r="AF135">
        <v>263</v>
      </c>
      <c r="AG135" s="1" t="s">
        <v>312</v>
      </c>
      <c r="AH135">
        <v>1</v>
      </c>
      <c r="AI135">
        <v>6.7416000000000004E-2</v>
      </c>
      <c r="AJ135" s="1" t="s">
        <v>306</v>
      </c>
      <c r="AK135">
        <v>263</v>
      </c>
      <c r="AL135" s="1" t="s">
        <v>313</v>
      </c>
      <c r="AM135">
        <v>1</v>
      </c>
      <c r="AN135">
        <v>0</v>
      </c>
      <c r="AO135" s="1" t="s">
        <v>306</v>
      </c>
      <c r="AP135">
        <v>263</v>
      </c>
      <c r="AQ135" s="1" t="s">
        <v>314</v>
      </c>
      <c r="AR135">
        <v>1</v>
      </c>
      <c r="AS135">
        <v>0.85</v>
      </c>
      <c r="AT135" s="1" t="s">
        <v>306</v>
      </c>
      <c r="AU135">
        <v>263</v>
      </c>
      <c r="AV135" s="1" t="s">
        <v>315</v>
      </c>
      <c r="AW135">
        <v>1</v>
      </c>
      <c r="AX135" t="b">
        <v>0</v>
      </c>
      <c r="AY135" s="1" t="s">
        <v>316</v>
      </c>
      <c r="AZ135">
        <v>263</v>
      </c>
      <c r="BA135" s="1" t="s">
        <v>317</v>
      </c>
    </row>
    <row r="136" spans="1:53" x14ac:dyDescent="0.25">
      <c r="A136">
        <v>244</v>
      </c>
      <c r="B136" s="1" t="s">
        <v>295</v>
      </c>
      <c r="C136">
        <v>786</v>
      </c>
      <c r="D136">
        <v>1</v>
      </c>
      <c r="E136" t="b">
        <v>0</v>
      </c>
      <c r="F136" s="1" t="s">
        <v>304</v>
      </c>
      <c r="G136" s="1" t="s">
        <v>305</v>
      </c>
      <c r="H136">
        <v>786</v>
      </c>
      <c r="I136">
        <v>1</v>
      </c>
      <c r="J136">
        <v>0.45300000000000001</v>
      </c>
      <c r="K136" s="1" t="s">
        <v>306</v>
      </c>
      <c r="L136">
        <v>786</v>
      </c>
      <c r="M136" s="1" t="s">
        <v>307</v>
      </c>
      <c r="N136">
        <v>1</v>
      </c>
      <c r="O136">
        <v>0</v>
      </c>
      <c r="P136" s="1" t="s">
        <v>306</v>
      </c>
      <c r="Q136">
        <v>786</v>
      </c>
      <c r="R136" s="1" t="s">
        <v>308</v>
      </c>
      <c r="S136">
        <v>1</v>
      </c>
      <c r="T136">
        <v>3.3000000000000002E-2</v>
      </c>
      <c r="U136" s="1" t="s">
        <v>306</v>
      </c>
      <c r="V136">
        <v>786</v>
      </c>
      <c r="W136" s="1" t="s">
        <v>309</v>
      </c>
      <c r="X136">
        <v>1</v>
      </c>
      <c r="Y136">
        <v>1.9E-2</v>
      </c>
      <c r="Z136" s="1" t="s">
        <v>306</v>
      </c>
      <c r="AA136">
        <v>786</v>
      </c>
      <c r="AB136" s="1" t="s">
        <v>310</v>
      </c>
      <c r="AC136">
        <v>1</v>
      </c>
      <c r="AD136">
        <v>7.5193779999999997</v>
      </c>
      <c r="AE136" s="1" t="s">
        <v>311</v>
      </c>
      <c r="AF136">
        <v>786</v>
      </c>
      <c r="AG136" s="1" t="s">
        <v>312</v>
      </c>
      <c r="AH136">
        <v>1</v>
      </c>
      <c r="AI136">
        <v>3.1E-2</v>
      </c>
      <c r="AJ136" s="1" t="s">
        <v>306</v>
      </c>
      <c r="AK136">
        <v>786</v>
      </c>
      <c r="AL136" s="1" t="s">
        <v>313</v>
      </c>
      <c r="AM136">
        <v>1</v>
      </c>
      <c r="AN136">
        <v>0</v>
      </c>
      <c r="AO136" s="1" t="s">
        <v>306</v>
      </c>
      <c r="AP136">
        <v>786</v>
      </c>
      <c r="AQ136" s="1" t="s">
        <v>314</v>
      </c>
      <c r="AR136">
        <v>1</v>
      </c>
      <c r="AS136">
        <v>0.44</v>
      </c>
      <c r="AT136" s="1" t="s">
        <v>306</v>
      </c>
      <c r="AU136">
        <v>786</v>
      </c>
      <c r="AV136" s="1" t="s">
        <v>315</v>
      </c>
      <c r="AW136">
        <v>1</v>
      </c>
      <c r="AX136" t="b">
        <v>0</v>
      </c>
      <c r="AY136" s="1" t="s">
        <v>316</v>
      </c>
      <c r="AZ136">
        <v>786</v>
      </c>
      <c r="BA136" s="1" t="s">
        <v>317</v>
      </c>
    </row>
    <row r="137" spans="1:53" x14ac:dyDescent="0.25">
      <c r="A137">
        <v>156</v>
      </c>
      <c r="B137" s="1" t="s">
        <v>208</v>
      </c>
      <c r="C137">
        <v>492</v>
      </c>
      <c r="D137">
        <v>1</v>
      </c>
      <c r="E137" t="b">
        <v>1</v>
      </c>
      <c r="F137" s="1" t="s">
        <v>304</v>
      </c>
      <c r="G137" s="1" t="s">
        <v>305</v>
      </c>
      <c r="H137">
        <v>492</v>
      </c>
      <c r="I137">
        <v>1</v>
      </c>
      <c r="J137">
        <v>0.23</v>
      </c>
      <c r="K137" s="1" t="s">
        <v>306</v>
      </c>
      <c r="L137">
        <v>492</v>
      </c>
      <c r="M137" s="1" t="s">
        <v>307</v>
      </c>
      <c r="N137">
        <v>1</v>
      </c>
      <c r="O137">
        <v>0.25</v>
      </c>
      <c r="P137" s="1" t="s">
        <v>306</v>
      </c>
      <c r="Q137">
        <v>492</v>
      </c>
      <c r="R137" s="1" t="s">
        <v>308</v>
      </c>
      <c r="S137">
        <v>1</v>
      </c>
      <c r="T137">
        <v>0.1</v>
      </c>
      <c r="U137" s="1" t="s">
        <v>306</v>
      </c>
      <c r="V137">
        <v>492</v>
      </c>
      <c r="W137" s="1" t="s">
        <v>309</v>
      </c>
      <c r="X137">
        <v>1</v>
      </c>
      <c r="Y137">
        <v>2.1999999999999999E-2</v>
      </c>
      <c r="Z137" s="1" t="s">
        <v>306</v>
      </c>
      <c r="AA137">
        <v>492</v>
      </c>
      <c r="AB137" s="1" t="s">
        <v>310</v>
      </c>
      <c r="AC137">
        <v>1</v>
      </c>
      <c r="AD137">
        <v>12.45722</v>
      </c>
      <c r="AE137" s="1" t="s">
        <v>311</v>
      </c>
      <c r="AF137">
        <v>492</v>
      </c>
      <c r="AG137" s="1" t="s">
        <v>312</v>
      </c>
      <c r="AH137">
        <v>1</v>
      </c>
      <c r="AI137">
        <v>0.05</v>
      </c>
      <c r="AJ137" s="1" t="s">
        <v>306</v>
      </c>
      <c r="AK137">
        <v>492</v>
      </c>
      <c r="AL137" s="1" t="s">
        <v>313</v>
      </c>
      <c r="AM137">
        <v>1</v>
      </c>
      <c r="AN137">
        <v>0</v>
      </c>
      <c r="AO137" s="1" t="s">
        <v>306</v>
      </c>
      <c r="AP137">
        <v>492</v>
      </c>
      <c r="AQ137" s="1" t="s">
        <v>314</v>
      </c>
      <c r="AR137">
        <v>1</v>
      </c>
      <c r="AS137">
        <v>0.72</v>
      </c>
      <c r="AT137" s="1" t="s">
        <v>306</v>
      </c>
      <c r="AU137">
        <v>492</v>
      </c>
      <c r="AV137" s="1" t="s">
        <v>315</v>
      </c>
      <c r="AW137">
        <v>1</v>
      </c>
      <c r="AX137" t="b">
        <v>0</v>
      </c>
      <c r="AY137" s="1" t="s">
        <v>316</v>
      </c>
      <c r="AZ137">
        <v>492</v>
      </c>
      <c r="BA137" s="1" t="s">
        <v>317</v>
      </c>
    </row>
    <row r="138" spans="1:53" x14ac:dyDescent="0.25">
      <c r="A138">
        <v>55</v>
      </c>
      <c r="B138" s="1" t="s">
        <v>107</v>
      </c>
      <c r="C138">
        <v>243</v>
      </c>
      <c r="D138">
        <v>20.67258</v>
      </c>
      <c r="E138" t="b">
        <v>0</v>
      </c>
      <c r="F138" s="1">
        <v>243</v>
      </c>
      <c r="G138" s="1" t="s">
        <v>305</v>
      </c>
      <c r="H138">
        <v>243</v>
      </c>
      <c r="I138">
        <v>1</v>
      </c>
      <c r="J138">
        <v>1.2999999999999999E-2</v>
      </c>
      <c r="K138" s="1" t="s">
        <v>306</v>
      </c>
      <c r="L138">
        <v>243</v>
      </c>
      <c r="M138" s="1" t="s">
        <v>307</v>
      </c>
      <c r="N138">
        <v>1</v>
      </c>
      <c r="O138">
        <v>0.15</v>
      </c>
      <c r="P138" s="1" t="s">
        <v>306</v>
      </c>
      <c r="Q138">
        <v>243</v>
      </c>
      <c r="R138" s="1" t="s">
        <v>308</v>
      </c>
      <c r="S138">
        <v>1</v>
      </c>
      <c r="T138">
        <v>0.66</v>
      </c>
      <c r="U138" s="1" t="s">
        <v>306</v>
      </c>
      <c r="V138">
        <v>243</v>
      </c>
      <c r="W138" s="1" t="s">
        <v>309</v>
      </c>
      <c r="X138">
        <v>1</v>
      </c>
      <c r="Y138">
        <v>6.8000000000000005E-2</v>
      </c>
      <c r="Z138" s="1" t="s">
        <v>306</v>
      </c>
      <c r="AA138">
        <v>243</v>
      </c>
      <c r="AB138" s="1" t="s">
        <v>310</v>
      </c>
      <c r="AC138">
        <v>1</v>
      </c>
      <c r="AD138">
        <v>20.67258</v>
      </c>
      <c r="AE138" s="1" t="s">
        <v>311</v>
      </c>
      <c r="AF138">
        <v>243</v>
      </c>
      <c r="AG138" s="1" t="s">
        <v>312</v>
      </c>
      <c r="AH138">
        <v>1</v>
      </c>
      <c r="AI138">
        <v>1.4E-2</v>
      </c>
      <c r="AJ138" s="1" t="s">
        <v>306</v>
      </c>
      <c r="AK138">
        <v>243</v>
      </c>
      <c r="AL138" s="1" t="s">
        <v>313</v>
      </c>
      <c r="AM138">
        <v>1</v>
      </c>
      <c r="AN138">
        <v>0</v>
      </c>
      <c r="AO138" s="1" t="s">
        <v>306</v>
      </c>
      <c r="AP138">
        <v>243</v>
      </c>
      <c r="AQ138" s="1" t="s">
        <v>314</v>
      </c>
      <c r="AR138">
        <v>1</v>
      </c>
      <c r="AS138">
        <v>0.92</v>
      </c>
      <c r="AT138" s="1" t="s">
        <v>306</v>
      </c>
      <c r="AU138">
        <v>243</v>
      </c>
      <c r="AV138" s="1" t="s">
        <v>315</v>
      </c>
      <c r="AW138">
        <v>1</v>
      </c>
      <c r="AX138" t="b">
        <v>0</v>
      </c>
      <c r="AY138" s="1" t="s">
        <v>316</v>
      </c>
      <c r="AZ138">
        <v>243</v>
      </c>
      <c r="BA138" s="1" t="s">
        <v>317</v>
      </c>
    </row>
    <row r="139" spans="1:53" x14ac:dyDescent="0.25">
      <c r="A139">
        <v>68</v>
      </c>
      <c r="B139" s="1" t="s">
        <v>120</v>
      </c>
      <c r="C139">
        <v>265</v>
      </c>
      <c r="D139">
        <v>13.59901</v>
      </c>
      <c r="E139" t="b">
        <v>0</v>
      </c>
      <c r="F139" s="1">
        <v>265</v>
      </c>
      <c r="G139" s="1" t="s">
        <v>305</v>
      </c>
      <c r="H139">
        <v>265</v>
      </c>
      <c r="I139">
        <v>1</v>
      </c>
      <c r="J139">
        <v>0.128</v>
      </c>
      <c r="K139" s="1" t="s">
        <v>306</v>
      </c>
      <c r="L139">
        <v>265</v>
      </c>
      <c r="M139" s="1" t="s">
        <v>307</v>
      </c>
      <c r="N139">
        <v>1</v>
      </c>
      <c r="O139">
        <v>0.2</v>
      </c>
      <c r="P139" s="1" t="s">
        <v>306</v>
      </c>
      <c r="Q139">
        <v>265</v>
      </c>
      <c r="R139" s="1" t="s">
        <v>308</v>
      </c>
      <c r="S139">
        <v>1</v>
      </c>
      <c r="T139">
        <v>0.28899999999999998</v>
      </c>
      <c r="U139" s="1" t="s">
        <v>306</v>
      </c>
      <c r="V139">
        <v>265</v>
      </c>
      <c r="W139" s="1" t="s">
        <v>309</v>
      </c>
      <c r="X139">
        <v>1</v>
      </c>
      <c r="Y139">
        <v>2.8000000000000001E-2</v>
      </c>
      <c r="Z139" s="1" t="s">
        <v>306</v>
      </c>
      <c r="AA139">
        <v>265</v>
      </c>
      <c r="AB139" s="1" t="s">
        <v>310</v>
      </c>
      <c r="AC139">
        <v>1</v>
      </c>
      <c r="AD139">
        <v>13.59901</v>
      </c>
      <c r="AE139" s="1" t="s">
        <v>311</v>
      </c>
      <c r="AF139">
        <v>265</v>
      </c>
      <c r="AG139" s="1" t="s">
        <v>312</v>
      </c>
      <c r="AH139">
        <v>1</v>
      </c>
      <c r="AI139">
        <v>6.4000000000000001E-2</v>
      </c>
      <c r="AJ139" s="1" t="s">
        <v>306</v>
      </c>
      <c r="AK139">
        <v>265</v>
      </c>
      <c r="AL139" s="1" t="s">
        <v>313</v>
      </c>
      <c r="AM139">
        <v>1</v>
      </c>
      <c r="AN139">
        <v>0</v>
      </c>
      <c r="AO139" s="1" t="s">
        <v>306</v>
      </c>
      <c r="AP139">
        <v>265</v>
      </c>
      <c r="AQ139" s="1" t="s">
        <v>314</v>
      </c>
      <c r="AR139">
        <v>1</v>
      </c>
      <c r="AS139">
        <v>0.72</v>
      </c>
      <c r="AT139" s="1" t="s">
        <v>306</v>
      </c>
      <c r="AU139">
        <v>265</v>
      </c>
      <c r="AV139" s="1" t="s">
        <v>315</v>
      </c>
      <c r="AW139">
        <v>1</v>
      </c>
      <c r="AX139" t="b">
        <v>0</v>
      </c>
      <c r="AY139" s="1" t="s">
        <v>316</v>
      </c>
      <c r="AZ139">
        <v>265</v>
      </c>
      <c r="BA139" s="1" t="s">
        <v>317</v>
      </c>
    </row>
    <row r="140" spans="1:53" x14ac:dyDescent="0.25">
      <c r="A140">
        <v>70</v>
      </c>
      <c r="B140" s="1" t="s">
        <v>122</v>
      </c>
      <c r="C140">
        <v>267</v>
      </c>
      <c r="D140">
        <v>14.228569999999999</v>
      </c>
      <c r="E140" t="b">
        <v>0</v>
      </c>
      <c r="F140" s="1">
        <v>267</v>
      </c>
      <c r="G140" s="1" t="s">
        <v>305</v>
      </c>
      <c r="H140">
        <v>267</v>
      </c>
      <c r="I140">
        <v>1</v>
      </c>
      <c r="J140">
        <v>0.16200000000000001</v>
      </c>
      <c r="K140" s="1" t="s">
        <v>306</v>
      </c>
      <c r="L140">
        <v>267</v>
      </c>
      <c r="M140" s="1" t="s">
        <v>307</v>
      </c>
      <c r="N140">
        <v>1</v>
      </c>
      <c r="O140">
        <v>0.12</v>
      </c>
      <c r="P140" s="1" t="s">
        <v>306</v>
      </c>
      <c r="Q140">
        <v>267</v>
      </c>
      <c r="R140" s="1" t="s">
        <v>308</v>
      </c>
      <c r="S140">
        <v>1</v>
      </c>
      <c r="T140">
        <v>0.28699999999999998</v>
      </c>
      <c r="U140" s="1" t="s">
        <v>306</v>
      </c>
      <c r="V140">
        <v>267</v>
      </c>
      <c r="W140" s="1" t="s">
        <v>309</v>
      </c>
      <c r="X140">
        <v>1</v>
      </c>
      <c r="Y140">
        <v>0.1</v>
      </c>
      <c r="Z140" s="1" t="s">
        <v>306</v>
      </c>
      <c r="AA140">
        <v>267</v>
      </c>
      <c r="AB140" s="1" t="s">
        <v>310</v>
      </c>
      <c r="AC140">
        <v>1</v>
      </c>
      <c r="AD140">
        <v>14.228569999999999</v>
      </c>
      <c r="AE140" s="1" t="s">
        <v>311</v>
      </c>
      <c r="AF140">
        <v>267</v>
      </c>
      <c r="AG140" s="1" t="s">
        <v>312</v>
      </c>
      <c r="AH140">
        <v>1</v>
      </c>
      <c r="AI140">
        <v>3.9E-2</v>
      </c>
      <c r="AJ140" s="1" t="s">
        <v>306</v>
      </c>
      <c r="AK140">
        <v>267</v>
      </c>
      <c r="AL140" s="1" t="s">
        <v>313</v>
      </c>
      <c r="AM140">
        <v>1</v>
      </c>
      <c r="AN140">
        <v>0</v>
      </c>
      <c r="AO140" s="1" t="s">
        <v>306</v>
      </c>
      <c r="AP140">
        <v>267</v>
      </c>
      <c r="AQ140" s="1" t="s">
        <v>314</v>
      </c>
      <c r="AR140">
        <v>1</v>
      </c>
      <c r="AS140">
        <v>0.67</v>
      </c>
      <c r="AT140" s="1" t="s">
        <v>306</v>
      </c>
      <c r="AU140">
        <v>267</v>
      </c>
      <c r="AV140" s="1" t="s">
        <v>315</v>
      </c>
      <c r="AW140">
        <v>1</v>
      </c>
      <c r="AX140" t="b">
        <v>0</v>
      </c>
      <c r="AY140" s="1" t="s">
        <v>316</v>
      </c>
      <c r="AZ140">
        <v>267</v>
      </c>
      <c r="BA140" s="1" t="s">
        <v>317</v>
      </c>
    </row>
    <row r="141" spans="1:53" x14ac:dyDescent="0.25">
      <c r="A141">
        <v>69</v>
      </c>
      <c r="B141" s="1" t="s">
        <v>121</v>
      </c>
      <c r="C141">
        <v>266</v>
      </c>
      <c r="D141">
        <v>14.4672</v>
      </c>
      <c r="E141" t="b">
        <v>0</v>
      </c>
      <c r="F141" s="1">
        <v>266</v>
      </c>
      <c r="G141" s="1" t="s">
        <v>305</v>
      </c>
      <c r="H141">
        <v>266</v>
      </c>
      <c r="I141">
        <v>1</v>
      </c>
      <c r="J141">
        <v>0.151</v>
      </c>
      <c r="K141" s="1" t="s">
        <v>306</v>
      </c>
      <c r="L141">
        <v>266</v>
      </c>
      <c r="M141" s="1" t="s">
        <v>307</v>
      </c>
      <c r="N141">
        <v>1</v>
      </c>
      <c r="O141">
        <v>0.12</v>
      </c>
      <c r="P141" s="1" t="s">
        <v>306</v>
      </c>
      <c r="Q141">
        <v>266</v>
      </c>
      <c r="R141" s="1" t="s">
        <v>308</v>
      </c>
      <c r="S141">
        <v>1</v>
      </c>
      <c r="T141">
        <v>0.27800000000000002</v>
      </c>
      <c r="U141" s="1" t="s">
        <v>306</v>
      </c>
      <c r="V141">
        <v>266</v>
      </c>
      <c r="W141" s="1" t="s">
        <v>309</v>
      </c>
      <c r="X141">
        <v>1</v>
      </c>
      <c r="Y141">
        <v>0.1</v>
      </c>
      <c r="Z141" s="1" t="s">
        <v>306</v>
      </c>
      <c r="AA141">
        <v>266</v>
      </c>
      <c r="AB141" s="1" t="s">
        <v>310</v>
      </c>
      <c r="AC141">
        <v>1</v>
      </c>
      <c r="AD141">
        <v>14.4672</v>
      </c>
      <c r="AE141" s="1" t="s">
        <v>311</v>
      </c>
      <c r="AF141">
        <v>266</v>
      </c>
      <c r="AG141" s="1" t="s">
        <v>312</v>
      </c>
      <c r="AH141">
        <v>1</v>
      </c>
      <c r="AI141">
        <v>4.2000000000000003E-2</v>
      </c>
      <c r="AJ141" s="1" t="s">
        <v>306</v>
      </c>
      <c r="AK141">
        <v>266</v>
      </c>
      <c r="AL141" s="1" t="s">
        <v>313</v>
      </c>
      <c r="AM141">
        <v>1</v>
      </c>
      <c r="AN141">
        <v>0</v>
      </c>
      <c r="AO141" s="1" t="s">
        <v>306</v>
      </c>
      <c r="AP141">
        <v>266</v>
      </c>
      <c r="AQ141" s="1" t="s">
        <v>314</v>
      </c>
      <c r="AR141">
        <v>1</v>
      </c>
      <c r="AS141">
        <v>0.69</v>
      </c>
      <c r="AT141" s="1" t="s">
        <v>306</v>
      </c>
      <c r="AU141">
        <v>266</v>
      </c>
      <c r="AV141" s="1" t="s">
        <v>315</v>
      </c>
      <c r="AW141">
        <v>1</v>
      </c>
      <c r="AX141" t="b">
        <v>0</v>
      </c>
      <c r="AY141" s="1" t="s">
        <v>316</v>
      </c>
      <c r="AZ141">
        <v>266</v>
      </c>
      <c r="BA141" s="1" t="s">
        <v>317</v>
      </c>
    </row>
    <row r="142" spans="1:53" x14ac:dyDescent="0.25">
      <c r="A142">
        <v>91</v>
      </c>
      <c r="B142" s="1" t="s">
        <v>143</v>
      </c>
      <c r="C142">
        <v>302</v>
      </c>
      <c r="D142">
        <v>18.390070000000001</v>
      </c>
      <c r="E142" t="b">
        <v>0</v>
      </c>
      <c r="F142" s="1">
        <v>302</v>
      </c>
      <c r="G142" s="1" t="s">
        <v>305</v>
      </c>
      <c r="H142">
        <v>302</v>
      </c>
      <c r="I142">
        <v>1</v>
      </c>
      <c r="J142">
        <v>1.0526299999999999E-3</v>
      </c>
      <c r="K142" s="1" t="s">
        <v>306</v>
      </c>
      <c r="L142">
        <v>302</v>
      </c>
      <c r="M142" s="1" t="s">
        <v>307</v>
      </c>
      <c r="N142">
        <v>1</v>
      </c>
      <c r="O142">
        <v>0.5444</v>
      </c>
      <c r="P142" s="1" t="s">
        <v>306</v>
      </c>
      <c r="Q142">
        <v>302</v>
      </c>
      <c r="R142" s="1" t="s">
        <v>308</v>
      </c>
      <c r="S142">
        <v>1</v>
      </c>
      <c r="T142">
        <v>0.2368421</v>
      </c>
      <c r="U142" s="1" t="s">
        <v>306</v>
      </c>
      <c r="V142">
        <v>302</v>
      </c>
      <c r="W142" s="1" t="s">
        <v>309</v>
      </c>
      <c r="X142">
        <v>1</v>
      </c>
      <c r="Y142">
        <v>0.14736840000000001</v>
      </c>
      <c r="Z142" s="1" t="s">
        <v>306</v>
      </c>
      <c r="AA142">
        <v>302</v>
      </c>
      <c r="AB142" s="1" t="s">
        <v>310</v>
      </c>
      <c r="AC142">
        <v>1</v>
      </c>
      <c r="AD142">
        <v>18.390070000000001</v>
      </c>
      <c r="AE142" s="1" t="s">
        <v>311</v>
      </c>
      <c r="AF142">
        <v>302</v>
      </c>
      <c r="AG142" s="1" t="s">
        <v>312</v>
      </c>
      <c r="AH142">
        <v>1</v>
      </c>
      <c r="AI142">
        <v>7.1579000000000004E-2</v>
      </c>
      <c r="AJ142" s="1" t="s">
        <v>306</v>
      </c>
      <c r="AK142">
        <v>302</v>
      </c>
      <c r="AL142" s="1" t="s">
        <v>313</v>
      </c>
      <c r="AM142">
        <v>1</v>
      </c>
      <c r="AN142">
        <v>0</v>
      </c>
      <c r="AO142" s="1" t="s">
        <v>306</v>
      </c>
      <c r="AP142">
        <v>302</v>
      </c>
      <c r="AQ142" s="1" t="s">
        <v>314</v>
      </c>
      <c r="AR142">
        <v>1</v>
      </c>
      <c r="AS142">
        <v>0.95</v>
      </c>
      <c r="AT142" s="1" t="s">
        <v>306</v>
      </c>
      <c r="AU142">
        <v>302</v>
      </c>
      <c r="AV142" s="1" t="s">
        <v>315</v>
      </c>
      <c r="AW142">
        <v>1</v>
      </c>
      <c r="AX142" t="b">
        <v>0</v>
      </c>
      <c r="AY142" s="1" t="s">
        <v>316</v>
      </c>
      <c r="AZ142">
        <v>302</v>
      </c>
      <c r="BA142" s="1" t="s">
        <v>317</v>
      </c>
    </row>
    <row r="143" spans="1:53" x14ac:dyDescent="0.25">
      <c r="A143">
        <v>90</v>
      </c>
      <c r="B143" s="1" t="s">
        <v>142</v>
      </c>
      <c r="C143">
        <v>301</v>
      </c>
      <c r="D143">
        <v>19.459969999999998</v>
      </c>
      <c r="E143" t="b">
        <v>0</v>
      </c>
      <c r="F143" s="1">
        <v>301</v>
      </c>
      <c r="G143" s="1" t="s">
        <v>305</v>
      </c>
      <c r="H143">
        <v>301</v>
      </c>
      <c r="I143">
        <v>1</v>
      </c>
      <c r="J143">
        <v>1.0526299999999999E-3</v>
      </c>
      <c r="K143" s="1" t="s">
        <v>306</v>
      </c>
      <c r="L143">
        <v>301</v>
      </c>
      <c r="M143" s="1" t="s">
        <v>307</v>
      </c>
      <c r="N143">
        <v>1</v>
      </c>
      <c r="O143">
        <v>0.48020000000000002</v>
      </c>
      <c r="P143" s="1" t="s">
        <v>306</v>
      </c>
      <c r="Q143">
        <v>301</v>
      </c>
      <c r="R143" s="1" t="s">
        <v>308</v>
      </c>
      <c r="S143">
        <v>1</v>
      </c>
      <c r="T143">
        <v>0.25263150000000001</v>
      </c>
      <c r="U143" s="1" t="s">
        <v>306</v>
      </c>
      <c r="V143">
        <v>301</v>
      </c>
      <c r="W143" s="1" t="s">
        <v>309</v>
      </c>
      <c r="X143">
        <v>1</v>
      </c>
      <c r="Y143">
        <v>0.2</v>
      </c>
      <c r="Z143" s="1" t="s">
        <v>306</v>
      </c>
      <c r="AA143">
        <v>301</v>
      </c>
      <c r="AB143" s="1" t="s">
        <v>310</v>
      </c>
      <c r="AC143">
        <v>1</v>
      </c>
      <c r="AD143">
        <v>19.459969999999998</v>
      </c>
      <c r="AE143" s="1" t="s">
        <v>311</v>
      </c>
      <c r="AF143">
        <v>301</v>
      </c>
      <c r="AG143" s="1" t="s">
        <v>312</v>
      </c>
      <c r="AH143">
        <v>1</v>
      </c>
      <c r="AI143">
        <v>6.7367999999999997E-2</v>
      </c>
      <c r="AJ143" s="1" t="s">
        <v>306</v>
      </c>
      <c r="AK143">
        <v>301</v>
      </c>
      <c r="AL143" s="1" t="s">
        <v>313</v>
      </c>
      <c r="AM143">
        <v>1</v>
      </c>
      <c r="AN143">
        <v>0</v>
      </c>
      <c r="AO143" s="1" t="s">
        <v>306</v>
      </c>
      <c r="AP143">
        <v>301</v>
      </c>
      <c r="AQ143" s="1" t="s">
        <v>314</v>
      </c>
      <c r="AR143">
        <v>1</v>
      </c>
      <c r="AS143">
        <v>0.95</v>
      </c>
      <c r="AT143" s="1" t="s">
        <v>306</v>
      </c>
      <c r="AU143">
        <v>301</v>
      </c>
      <c r="AV143" s="1" t="s">
        <v>315</v>
      </c>
      <c r="AW143">
        <v>1</v>
      </c>
      <c r="AX143" t="b">
        <v>0</v>
      </c>
      <c r="AY143" s="1" t="s">
        <v>316</v>
      </c>
      <c r="AZ143">
        <v>301</v>
      </c>
      <c r="BA143" s="1" t="s">
        <v>317</v>
      </c>
    </row>
    <row r="144" spans="1:53" x14ac:dyDescent="0.25">
      <c r="A144">
        <v>93</v>
      </c>
      <c r="B144" s="1" t="s">
        <v>145</v>
      </c>
      <c r="C144">
        <v>304</v>
      </c>
      <c r="D144">
        <v>17.997730000000001</v>
      </c>
      <c r="E144" t="b">
        <v>0</v>
      </c>
      <c r="F144" s="1">
        <v>304</v>
      </c>
      <c r="G144" s="1" t="s">
        <v>305</v>
      </c>
      <c r="H144">
        <v>304</v>
      </c>
      <c r="I144">
        <v>1</v>
      </c>
      <c r="J144">
        <v>1.0526310000000001E-2</v>
      </c>
      <c r="K144" s="1" t="s">
        <v>306</v>
      </c>
      <c r="L144">
        <v>304</v>
      </c>
      <c r="M144" s="1" t="s">
        <v>307</v>
      </c>
      <c r="N144">
        <v>1</v>
      </c>
      <c r="O144">
        <v>0.48420000000000002</v>
      </c>
      <c r="P144" s="1" t="s">
        <v>306</v>
      </c>
      <c r="Q144">
        <v>304</v>
      </c>
      <c r="R144" s="1" t="s">
        <v>308</v>
      </c>
      <c r="S144">
        <v>1</v>
      </c>
      <c r="T144">
        <v>0.2315789</v>
      </c>
      <c r="U144" s="1" t="s">
        <v>306</v>
      </c>
      <c r="V144">
        <v>304</v>
      </c>
      <c r="W144" s="1" t="s">
        <v>309</v>
      </c>
      <c r="X144">
        <v>1</v>
      </c>
      <c r="Y144">
        <v>0.16842099999999999</v>
      </c>
      <c r="Z144" s="1" t="s">
        <v>306</v>
      </c>
      <c r="AA144">
        <v>304</v>
      </c>
      <c r="AB144" s="1" t="s">
        <v>310</v>
      </c>
      <c r="AC144">
        <v>1</v>
      </c>
      <c r="AD144">
        <v>17.997730000000001</v>
      </c>
      <c r="AE144" s="1" t="s">
        <v>311</v>
      </c>
      <c r="AF144">
        <v>304</v>
      </c>
      <c r="AG144" s="1" t="s">
        <v>312</v>
      </c>
      <c r="AH144">
        <v>1</v>
      </c>
      <c r="AI144">
        <v>0.115789</v>
      </c>
      <c r="AJ144" s="1" t="s">
        <v>306</v>
      </c>
      <c r="AK144">
        <v>304</v>
      </c>
      <c r="AL144" s="1" t="s">
        <v>313</v>
      </c>
      <c r="AM144">
        <v>1</v>
      </c>
      <c r="AN144">
        <v>0</v>
      </c>
      <c r="AO144" s="1" t="s">
        <v>306</v>
      </c>
      <c r="AP144">
        <v>304</v>
      </c>
      <c r="AQ144" s="1" t="s">
        <v>314</v>
      </c>
      <c r="AR144">
        <v>1</v>
      </c>
      <c r="AS144">
        <v>0.95</v>
      </c>
      <c r="AT144" s="1" t="s">
        <v>306</v>
      </c>
      <c r="AU144">
        <v>304</v>
      </c>
      <c r="AV144" s="1" t="s">
        <v>315</v>
      </c>
      <c r="AW144">
        <v>1</v>
      </c>
      <c r="AX144" t="b">
        <v>0</v>
      </c>
      <c r="AY144" s="1" t="s">
        <v>316</v>
      </c>
      <c r="AZ144">
        <v>304</v>
      </c>
      <c r="BA144" s="1" t="s">
        <v>317</v>
      </c>
    </row>
    <row r="145" spans="1:53" x14ac:dyDescent="0.25">
      <c r="A145">
        <v>92</v>
      </c>
      <c r="B145" s="1" t="s">
        <v>144</v>
      </c>
      <c r="C145">
        <v>303</v>
      </c>
      <c r="D145">
        <v>17.87181</v>
      </c>
      <c r="E145" t="b">
        <v>0</v>
      </c>
      <c r="F145" s="1">
        <v>303</v>
      </c>
      <c r="G145" s="1" t="s">
        <v>305</v>
      </c>
      <c r="H145">
        <v>303</v>
      </c>
      <c r="I145">
        <v>1</v>
      </c>
      <c r="J145">
        <v>1.0526299999999999E-3</v>
      </c>
      <c r="K145" s="1" t="s">
        <v>306</v>
      </c>
      <c r="L145">
        <v>303</v>
      </c>
      <c r="M145" s="1" t="s">
        <v>307</v>
      </c>
      <c r="N145">
        <v>1</v>
      </c>
      <c r="O145">
        <v>0.51580000000000004</v>
      </c>
      <c r="P145" s="1" t="s">
        <v>306</v>
      </c>
      <c r="Q145">
        <v>303</v>
      </c>
      <c r="R145" s="1" t="s">
        <v>308</v>
      </c>
      <c r="S145">
        <v>1</v>
      </c>
      <c r="T145">
        <v>0.18947359999999999</v>
      </c>
      <c r="U145" s="1" t="s">
        <v>306</v>
      </c>
      <c r="V145">
        <v>303</v>
      </c>
      <c r="W145" s="1" t="s">
        <v>309</v>
      </c>
      <c r="X145">
        <v>1</v>
      </c>
      <c r="Y145">
        <v>0.1789473</v>
      </c>
      <c r="Z145" s="1" t="s">
        <v>306</v>
      </c>
      <c r="AA145">
        <v>303</v>
      </c>
      <c r="AB145" s="1" t="s">
        <v>310</v>
      </c>
      <c r="AC145">
        <v>1</v>
      </c>
      <c r="AD145">
        <v>17.87181</v>
      </c>
      <c r="AE145" s="1" t="s">
        <v>311</v>
      </c>
      <c r="AF145">
        <v>303</v>
      </c>
      <c r="AG145" s="1" t="s">
        <v>312</v>
      </c>
      <c r="AH145">
        <v>1</v>
      </c>
      <c r="AI145">
        <v>0.115789</v>
      </c>
      <c r="AJ145" s="1" t="s">
        <v>306</v>
      </c>
      <c r="AK145">
        <v>303</v>
      </c>
      <c r="AL145" s="1" t="s">
        <v>313</v>
      </c>
      <c r="AM145">
        <v>1</v>
      </c>
      <c r="AN145">
        <v>0</v>
      </c>
      <c r="AO145" s="1" t="s">
        <v>306</v>
      </c>
      <c r="AP145">
        <v>303</v>
      </c>
      <c r="AQ145" s="1" t="s">
        <v>314</v>
      </c>
      <c r="AR145">
        <v>1</v>
      </c>
      <c r="AS145">
        <v>0.95</v>
      </c>
      <c r="AT145" s="1" t="s">
        <v>306</v>
      </c>
      <c r="AU145">
        <v>303</v>
      </c>
      <c r="AV145" s="1" t="s">
        <v>315</v>
      </c>
      <c r="AW145">
        <v>1</v>
      </c>
      <c r="AX145" t="b">
        <v>0</v>
      </c>
      <c r="AY145" s="1" t="s">
        <v>316</v>
      </c>
      <c r="AZ145">
        <v>303</v>
      </c>
      <c r="BA145" s="1" t="s">
        <v>317</v>
      </c>
    </row>
    <row r="146" spans="1:53" x14ac:dyDescent="0.25">
      <c r="A146">
        <v>32</v>
      </c>
      <c r="B146" s="1" t="s">
        <v>84</v>
      </c>
      <c r="C146">
        <v>205</v>
      </c>
      <c r="D146">
        <v>16.1477</v>
      </c>
      <c r="E146" t="b">
        <v>0</v>
      </c>
      <c r="F146" s="1">
        <v>205</v>
      </c>
      <c r="G146" s="1" t="s">
        <v>305</v>
      </c>
      <c r="H146">
        <v>205</v>
      </c>
      <c r="I146">
        <v>1</v>
      </c>
      <c r="J146">
        <v>2.3E-2</v>
      </c>
      <c r="K146" s="1" t="s">
        <v>306</v>
      </c>
      <c r="L146">
        <v>205</v>
      </c>
      <c r="M146" s="1" t="s">
        <v>307</v>
      </c>
      <c r="N146">
        <v>1</v>
      </c>
      <c r="O146">
        <v>0.76</v>
      </c>
      <c r="P146" s="1" t="s">
        <v>306</v>
      </c>
      <c r="Q146">
        <v>205</v>
      </c>
      <c r="R146" s="1" t="s">
        <v>308</v>
      </c>
      <c r="S146">
        <v>1</v>
      </c>
      <c r="T146">
        <v>0.115</v>
      </c>
      <c r="U146" s="1" t="s">
        <v>306</v>
      </c>
      <c r="V146">
        <v>205</v>
      </c>
      <c r="W146" s="1" t="s">
        <v>309</v>
      </c>
      <c r="X146">
        <v>1</v>
      </c>
      <c r="Y146">
        <v>3.5000000000000003E-2</v>
      </c>
      <c r="Z146" s="1" t="s">
        <v>306</v>
      </c>
      <c r="AA146">
        <v>205</v>
      </c>
      <c r="AB146" s="1" t="s">
        <v>310</v>
      </c>
      <c r="AC146">
        <v>1</v>
      </c>
      <c r="AD146">
        <v>16.1477</v>
      </c>
      <c r="AE146" s="1" t="s">
        <v>311</v>
      </c>
      <c r="AF146">
        <v>205</v>
      </c>
      <c r="AG146" s="1" t="s">
        <v>312</v>
      </c>
      <c r="AH146">
        <v>1</v>
      </c>
      <c r="AI146">
        <v>1.7000000000000001E-2</v>
      </c>
      <c r="AJ146" s="1" t="s">
        <v>306</v>
      </c>
      <c r="AK146">
        <v>205</v>
      </c>
      <c r="AL146" s="1" t="s">
        <v>313</v>
      </c>
      <c r="AM146">
        <v>1</v>
      </c>
      <c r="AN146">
        <v>0</v>
      </c>
      <c r="AO146" s="1" t="s">
        <v>306</v>
      </c>
      <c r="AP146">
        <v>205</v>
      </c>
      <c r="AQ146" s="1" t="s">
        <v>314</v>
      </c>
      <c r="AR146">
        <v>1</v>
      </c>
      <c r="AS146">
        <v>0.89480999999999999</v>
      </c>
      <c r="AT146" s="1" t="s">
        <v>306</v>
      </c>
      <c r="AU146">
        <v>205</v>
      </c>
      <c r="AV146" s="1" t="s">
        <v>315</v>
      </c>
      <c r="AW146">
        <v>1</v>
      </c>
      <c r="AX146" t="b">
        <v>0</v>
      </c>
      <c r="AY146" s="1" t="s">
        <v>316</v>
      </c>
      <c r="AZ146">
        <v>205</v>
      </c>
      <c r="BA146" s="1" t="s">
        <v>317</v>
      </c>
    </row>
    <row r="147" spans="1:53" x14ac:dyDescent="0.25">
      <c r="A147">
        <v>232</v>
      </c>
      <c r="B147" s="1" t="s">
        <v>283</v>
      </c>
      <c r="C147">
        <v>724</v>
      </c>
      <c r="D147">
        <v>1</v>
      </c>
      <c r="E147" t="b">
        <v>0</v>
      </c>
      <c r="F147" s="1" t="s">
        <v>304</v>
      </c>
      <c r="G147" s="1" t="s">
        <v>305</v>
      </c>
      <c r="H147">
        <v>724</v>
      </c>
      <c r="I147">
        <v>1</v>
      </c>
      <c r="J147">
        <v>0</v>
      </c>
      <c r="K147" s="1" t="s">
        <v>306</v>
      </c>
      <c r="L147">
        <v>724</v>
      </c>
      <c r="M147" s="1" t="s">
        <v>307</v>
      </c>
      <c r="N147">
        <v>1</v>
      </c>
      <c r="P147" s="1" t="s">
        <v>306</v>
      </c>
      <c r="Q147">
        <v>724</v>
      </c>
      <c r="R147" s="1" t="s">
        <v>308</v>
      </c>
      <c r="S147">
        <v>1</v>
      </c>
      <c r="T147">
        <v>0.71</v>
      </c>
      <c r="U147" s="1" t="s">
        <v>306</v>
      </c>
      <c r="V147">
        <v>724</v>
      </c>
      <c r="W147" s="1" t="s">
        <v>309</v>
      </c>
      <c r="X147">
        <v>1</v>
      </c>
      <c r="Z147" s="1" t="s">
        <v>306</v>
      </c>
      <c r="AA147">
        <v>724</v>
      </c>
      <c r="AB147" s="1" t="s">
        <v>310</v>
      </c>
      <c r="AC147">
        <v>1</v>
      </c>
      <c r="AD147">
        <v>0</v>
      </c>
      <c r="AE147" s="1" t="s">
        <v>311</v>
      </c>
      <c r="AF147">
        <v>724</v>
      </c>
      <c r="AG147" s="1" t="s">
        <v>312</v>
      </c>
      <c r="AH147">
        <v>1</v>
      </c>
      <c r="AI147">
        <v>0.9</v>
      </c>
      <c r="AJ147" s="1" t="s">
        <v>306</v>
      </c>
      <c r="AK147">
        <v>724</v>
      </c>
      <c r="AL147" s="1" t="s">
        <v>313</v>
      </c>
      <c r="AM147">
        <v>1</v>
      </c>
      <c r="AN147">
        <v>0</v>
      </c>
      <c r="AO147" s="1" t="s">
        <v>306</v>
      </c>
      <c r="AP147">
        <v>724</v>
      </c>
      <c r="AQ147" s="1" t="s">
        <v>314</v>
      </c>
      <c r="AR147">
        <v>1</v>
      </c>
      <c r="AT147" s="1" t="s">
        <v>306</v>
      </c>
      <c r="AU147">
        <v>724</v>
      </c>
      <c r="AV147" s="1" t="s">
        <v>315</v>
      </c>
      <c r="AW147">
        <v>1</v>
      </c>
      <c r="AX147" t="b">
        <v>0</v>
      </c>
      <c r="AY147" s="1" t="s">
        <v>316</v>
      </c>
      <c r="AZ147">
        <v>724</v>
      </c>
      <c r="BA147" s="1" t="s">
        <v>317</v>
      </c>
    </row>
    <row r="148" spans="1:53" x14ac:dyDescent="0.25">
      <c r="A148">
        <v>235</v>
      </c>
      <c r="B148" s="1" t="s">
        <v>286</v>
      </c>
      <c r="C148">
        <v>732</v>
      </c>
      <c r="D148">
        <v>1</v>
      </c>
      <c r="E148" t="b">
        <v>0</v>
      </c>
      <c r="F148" s="1" t="s">
        <v>304</v>
      </c>
      <c r="G148" s="1" t="s">
        <v>305</v>
      </c>
      <c r="H148">
        <v>732</v>
      </c>
      <c r="I148">
        <v>1</v>
      </c>
      <c r="J148">
        <v>0</v>
      </c>
      <c r="K148" s="1" t="s">
        <v>306</v>
      </c>
      <c r="L148">
        <v>732</v>
      </c>
      <c r="M148" s="1" t="s">
        <v>307</v>
      </c>
      <c r="N148">
        <v>1</v>
      </c>
      <c r="P148" s="1" t="s">
        <v>306</v>
      </c>
      <c r="Q148">
        <v>732</v>
      </c>
      <c r="R148" s="1" t="s">
        <v>308</v>
      </c>
      <c r="S148">
        <v>1</v>
      </c>
      <c r="T148">
        <v>0</v>
      </c>
      <c r="U148" s="1" t="s">
        <v>306</v>
      </c>
      <c r="V148">
        <v>732</v>
      </c>
      <c r="W148" s="1" t="s">
        <v>309</v>
      </c>
      <c r="X148">
        <v>1</v>
      </c>
      <c r="Z148" s="1" t="s">
        <v>306</v>
      </c>
      <c r="AA148">
        <v>732</v>
      </c>
      <c r="AB148" s="1" t="s">
        <v>310</v>
      </c>
      <c r="AC148">
        <v>1</v>
      </c>
      <c r="AD148">
        <v>0</v>
      </c>
      <c r="AE148" s="1" t="s">
        <v>311</v>
      </c>
      <c r="AF148">
        <v>732</v>
      </c>
      <c r="AG148" s="1" t="s">
        <v>312</v>
      </c>
      <c r="AH148">
        <v>1</v>
      </c>
      <c r="AI148">
        <v>0.9</v>
      </c>
      <c r="AJ148" s="1" t="s">
        <v>306</v>
      </c>
      <c r="AK148">
        <v>732</v>
      </c>
      <c r="AL148" s="1" t="s">
        <v>313</v>
      </c>
      <c r="AM148">
        <v>1</v>
      </c>
      <c r="AN148">
        <v>0</v>
      </c>
      <c r="AO148" s="1" t="s">
        <v>306</v>
      </c>
      <c r="AP148">
        <v>732</v>
      </c>
      <c r="AQ148" s="1" t="s">
        <v>314</v>
      </c>
      <c r="AR148">
        <v>1</v>
      </c>
      <c r="AT148" s="1" t="s">
        <v>306</v>
      </c>
      <c r="AU148">
        <v>732</v>
      </c>
      <c r="AV148" s="1" t="s">
        <v>315</v>
      </c>
      <c r="AW148">
        <v>1</v>
      </c>
      <c r="AX148" t="b">
        <v>0</v>
      </c>
      <c r="AY148" s="1" t="s">
        <v>316</v>
      </c>
      <c r="AZ148">
        <v>732</v>
      </c>
      <c r="BA148" s="1" t="s">
        <v>317</v>
      </c>
    </row>
    <row r="149" spans="1:53" x14ac:dyDescent="0.25">
      <c r="A149">
        <v>17</v>
      </c>
      <c r="B149" s="1" t="s">
        <v>69</v>
      </c>
      <c r="C149">
        <v>148</v>
      </c>
      <c r="D149">
        <v>15.71754</v>
      </c>
      <c r="E149" t="b">
        <v>0</v>
      </c>
      <c r="F149" s="1">
        <v>148</v>
      </c>
      <c r="G149" s="1" t="s">
        <v>305</v>
      </c>
      <c r="H149">
        <v>148</v>
      </c>
      <c r="I149">
        <v>1</v>
      </c>
      <c r="J149">
        <v>9.4E-2</v>
      </c>
      <c r="K149" s="1" t="s">
        <v>306</v>
      </c>
      <c r="L149">
        <v>148</v>
      </c>
      <c r="M149" s="1" t="s">
        <v>307</v>
      </c>
      <c r="N149">
        <v>1</v>
      </c>
      <c r="O149">
        <v>0.125</v>
      </c>
      <c r="P149" s="1" t="s">
        <v>306</v>
      </c>
      <c r="Q149">
        <v>148</v>
      </c>
      <c r="R149" s="1" t="s">
        <v>308</v>
      </c>
      <c r="S149">
        <v>1</v>
      </c>
      <c r="T149">
        <v>0.46300000000000002</v>
      </c>
      <c r="U149" s="1" t="s">
        <v>306</v>
      </c>
      <c r="V149">
        <v>148</v>
      </c>
      <c r="W149" s="1" t="s">
        <v>309</v>
      </c>
      <c r="X149">
        <v>1</v>
      </c>
      <c r="Y149">
        <v>0.01</v>
      </c>
      <c r="Z149" s="1" t="s">
        <v>306</v>
      </c>
      <c r="AA149">
        <v>148</v>
      </c>
      <c r="AB149" s="1" t="s">
        <v>310</v>
      </c>
      <c r="AC149">
        <v>1</v>
      </c>
      <c r="AD149">
        <v>15.71754</v>
      </c>
      <c r="AE149" s="1" t="s">
        <v>311</v>
      </c>
      <c r="AF149">
        <v>148</v>
      </c>
      <c r="AG149" s="1" t="s">
        <v>312</v>
      </c>
      <c r="AH149">
        <v>1</v>
      </c>
      <c r="AI149">
        <v>7.4999999999999997E-2</v>
      </c>
      <c r="AJ149" s="1" t="s">
        <v>306</v>
      </c>
      <c r="AK149">
        <v>148</v>
      </c>
      <c r="AL149" s="1" t="s">
        <v>313</v>
      </c>
      <c r="AM149">
        <v>1</v>
      </c>
      <c r="AN149">
        <v>0</v>
      </c>
      <c r="AO149" s="1" t="s">
        <v>306</v>
      </c>
      <c r="AP149">
        <v>148</v>
      </c>
      <c r="AQ149" s="1" t="s">
        <v>314</v>
      </c>
      <c r="AR149">
        <v>1</v>
      </c>
      <c r="AS149">
        <v>0.80896000000000001</v>
      </c>
      <c r="AT149" s="1" t="s">
        <v>306</v>
      </c>
      <c r="AU149">
        <v>148</v>
      </c>
      <c r="AV149" s="1" t="s">
        <v>315</v>
      </c>
      <c r="AW149">
        <v>1</v>
      </c>
      <c r="AX149" t="b">
        <v>0</v>
      </c>
      <c r="AY149" s="1" t="s">
        <v>316</v>
      </c>
      <c r="AZ149">
        <v>148</v>
      </c>
      <c r="BA149" s="1" t="s">
        <v>317</v>
      </c>
    </row>
    <row r="150" spans="1:53" x14ac:dyDescent="0.25">
      <c r="A150">
        <v>243</v>
      </c>
      <c r="B150" s="1" t="s">
        <v>294</v>
      </c>
      <c r="C150">
        <v>785</v>
      </c>
      <c r="D150">
        <v>1</v>
      </c>
      <c r="E150" t="b">
        <v>0</v>
      </c>
      <c r="F150" s="1" t="s">
        <v>304</v>
      </c>
      <c r="G150" s="1" t="s">
        <v>305</v>
      </c>
      <c r="H150">
        <v>785</v>
      </c>
      <c r="I150">
        <v>1</v>
      </c>
      <c r="J150">
        <v>0.41399999999999998</v>
      </c>
      <c r="K150" s="1" t="s">
        <v>306</v>
      </c>
      <c r="L150">
        <v>785</v>
      </c>
      <c r="M150" s="1" t="s">
        <v>307</v>
      </c>
      <c r="N150">
        <v>1</v>
      </c>
      <c r="O150">
        <v>0</v>
      </c>
      <c r="P150" s="1" t="s">
        <v>306</v>
      </c>
      <c r="Q150">
        <v>785</v>
      </c>
      <c r="R150" s="1" t="s">
        <v>308</v>
      </c>
      <c r="S150">
        <v>1</v>
      </c>
      <c r="T150">
        <v>3.6999999999999998E-2</v>
      </c>
      <c r="U150" s="1" t="s">
        <v>306</v>
      </c>
      <c r="V150">
        <v>785</v>
      </c>
      <c r="W150" s="1" t="s">
        <v>309</v>
      </c>
      <c r="X150">
        <v>1</v>
      </c>
      <c r="Y150">
        <v>0.02</v>
      </c>
      <c r="Z150" s="1" t="s">
        <v>306</v>
      </c>
      <c r="AA150">
        <v>785</v>
      </c>
      <c r="AB150" s="1" t="s">
        <v>310</v>
      </c>
      <c r="AC150">
        <v>1</v>
      </c>
      <c r="AD150">
        <v>7.340579</v>
      </c>
      <c r="AE150" s="1" t="s">
        <v>311</v>
      </c>
      <c r="AF150">
        <v>785</v>
      </c>
      <c r="AG150" s="1" t="s">
        <v>312</v>
      </c>
      <c r="AH150">
        <v>1</v>
      </c>
      <c r="AI150">
        <v>0.06</v>
      </c>
      <c r="AJ150" s="1" t="s">
        <v>306</v>
      </c>
      <c r="AK150">
        <v>785</v>
      </c>
      <c r="AL150" s="1" t="s">
        <v>313</v>
      </c>
      <c r="AM150">
        <v>1</v>
      </c>
      <c r="AN150">
        <v>0</v>
      </c>
      <c r="AO150" s="1" t="s">
        <v>306</v>
      </c>
      <c r="AP150">
        <v>785</v>
      </c>
      <c r="AQ150" s="1" t="s">
        <v>314</v>
      </c>
      <c r="AR150">
        <v>1</v>
      </c>
      <c r="AS150">
        <v>0.44</v>
      </c>
      <c r="AT150" s="1" t="s">
        <v>306</v>
      </c>
      <c r="AU150">
        <v>785</v>
      </c>
      <c r="AV150" s="1" t="s">
        <v>315</v>
      </c>
      <c r="AW150">
        <v>1</v>
      </c>
      <c r="AX150" t="b">
        <v>1</v>
      </c>
      <c r="AY150" s="1" t="s">
        <v>316</v>
      </c>
      <c r="AZ150">
        <v>785</v>
      </c>
      <c r="BA150" s="1" t="s">
        <v>317</v>
      </c>
    </row>
    <row r="151" spans="1:53" x14ac:dyDescent="0.25">
      <c r="A151">
        <v>220</v>
      </c>
      <c r="B151" s="1" t="s">
        <v>272</v>
      </c>
      <c r="C151">
        <v>686</v>
      </c>
      <c r="D151">
        <v>1</v>
      </c>
      <c r="E151" t="b">
        <v>0</v>
      </c>
      <c r="F151" s="1" t="s">
        <v>304</v>
      </c>
      <c r="G151" s="1" t="s">
        <v>305</v>
      </c>
      <c r="H151">
        <v>686</v>
      </c>
      <c r="I151">
        <v>1</v>
      </c>
      <c r="J151">
        <v>0.41399999999999998</v>
      </c>
      <c r="K151" s="1" t="s">
        <v>306</v>
      </c>
      <c r="L151">
        <v>686</v>
      </c>
      <c r="M151" s="1" t="s">
        <v>307</v>
      </c>
      <c r="N151">
        <v>1</v>
      </c>
      <c r="O151">
        <v>0</v>
      </c>
      <c r="P151" s="1" t="s">
        <v>306</v>
      </c>
      <c r="Q151">
        <v>686</v>
      </c>
      <c r="R151" s="1" t="s">
        <v>308</v>
      </c>
      <c r="S151">
        <v>1</v>
      </c>
      <c r="T151">
        <v>0.08</v>
      </c>
      <c r="U151" s="1" t="s">
        <v>306</v>
      </c>
      <c r="V151">
        <v>686</v>
      </c>
      <c r="W151" s="1" t="s">
        <v>309</v>
      </c>
      <c r="X151">
        <v>1</v>
      </c>
      <c r="Y151">
        <v>0.02</v>
      </c>
      <c r="Z151" s="1" t="s">
        <v>306</v>
      </c>
      <c r="AA151">
        <v>686</v>
      </c>
      <c r="AB151" s="1" t="s">
        <v>310</v>
      </c>
      <c r="AC151">
        <v>1</v>
      </c>
      <c r="AD151">
        <v>9.5694300000000005</v>
      </c>
      <c r="AE151" s="1" t="s">
        <v>311</v>
      </c>
      <c r="AF151">
        <v>686</v>
      </c>
      <c r="AG151" s="1" t="s">
        <v>312</v>
      </c>
      <c r="AH151">
        <v>1</v>
      </c>
      <c r="AI151">
        <v>0.06</v>
      </c>
      <c r="AJ151" s="1" t="s">
        <v>306</v>
      </c>
      <c r="AK151">
        <v>686</v>
      </c>
      <c r="AL151" s="1" t="s">
        <v>313</v>
      </c>
      <c r="AM151">
        <v>1</v>
      </c>
      <c r="AN151">
        <v>0</v>
      </c>
      <c r="AO151" s="1" t="s">
        <v>306</v>
      </c>
      <c r="AP151">
        <v>686</v>
      </c>
      <c r="AQ151" s="1" t="s">
        <v>314</v>
      </c>
      <c r="AR151">
        <v>1</v>
      </c>
      <c r="AS151">
        <v>0.56000000000000005</v>
      </c>
      <c r="AT151" s="1" t="s">
        <v>306</v>
      </c>
      <c r="AU151">
        <v>686</v>
      </c>
      <c r="AV151" s="1" t="s">
        <v>315</v>
      </c>
      <c r="AW151">
        <v>1</v>
      </c>
      <c r="AX151" t="b">
        <v>0</v>
      </c>
      <c r="AY151" s="1" t="s">
        <v>316</v>
      </c>
      <c r="AZ151">
        <v>686</v>
      </c>
      <c r="BA151" s="1" t="s">
        <v>317</v>
      </c>
    </row>
    <row r="152" spans="1:53" x14ac:dyDescent="0.25">
      <c r="A152">
        <v>48</v>
      </c>
      <c r="B152" s="1" t="s">
        <v>100</v>
      </c>
      <c r="C152">
        <v>228</v>
      </c>
      <c r="D152">
        <v>9.9190869999999993</v>
      </c>
      <c r="E152" t="b">
        <v>0</v>
      </c>
      <c r="F152" s="1">
        <v>228</v>
      </c>
      <c r="G152" s="1" t="s">
        <v>305</v>
      </c>
      <c r="H152">
        <v>228</v>
      </c>
      <c r="I152">
        <v>1</v>
      </c>
      <c r="J152">
        <v>0.316</v>
      </c>
      <c r="K152" s="1" t="s">
        <v>306</v>
      </c>
      <c r="L152">
        <v>228</v>
      </c>
      <c r="M152" s="1" t="s">
        <v>307</v>
      </c>
      <c r="N152">
        <v>1</v>
      </c>
      <c r="O152">
        <v>0.14099999999999999</v>
      </c>
      <c r="P152" s="1" t="s">
        <v>306</v>
      </c>
      <c r="Q152">
        <v>228</v>
      </c>
      <c r="R152" s="1" t="s">
        <v>308</v>
      </c>
      <c r="S152">
        <v>1</v>
      </c>
      <c r="T152">
        <v>3.9E-2</v>
      </c>
      <c r="U152" s="1" t="s">
        <v>306</v>
      </c>
      <c r="V152">
        <v>228</v>
      </c>
      <c r="W152" s="1" t="s">
        <v>309</v>
      </c>
      <c r="X152">
        <v>1</v>
      </c>
      <c r="Y152">
        <v>2.1000000000000001E-2</v>
      </c>
      <c r="Z152" s="1" t="s">
        <v>306</v>
      </c>
      <c r="AA152">
        <v>228</v>
      </c>
      <c r="AB152" s="1" t="s">
        <v>310</v>
      </c>
      <c r="AC152">
        <v>1</v>
      </c>
      <c r="AD152">
        <v>9.9190869999999993</v>
      </c>
      <c r="AE152" s="1" t="s">
        <v>311</v>
      </c>
      <c r="AF152">
        <v>228</v>
      </c>
      <c r="AG152" s="1" t="s">
        <v>312</v>
      </c>
      <c r="AH152">
        <v>1</v>
      </c>
      <c r="AI152">
        <v>5.8999999999999997E-2</v>
      </c>
      <c r="AJ152" s="1" t="s">
        <v>306</v>
      </c>
      <c r="AK152">
        <v>228</v>
      </c>
      <c r="AL152" s="1" t="s">
        <v>313</v>
      </c>
      <c r="AM152">
        <v>1</v>
      </c>
      <c r="AN152">
        <v>0</v>
      </c>
      <c r="AO152" s="1" t="s">
        <v>306</v>
      </c>
      <c r="AP152">
        <v>228</v>
      </c>
      <c r="AQ152" s="1" t="s">
        <v>314</v>
      </c>
      <c r="AR152">
        <v>1</v>
      </c>
      <c r="AS152">
        <v>0.59614</v>
      </c>
      <c r="AT152" s="1" t="s">
        <v>306</v>
      </c>
      <c r="AU152">
        <v>228</v>
      </c>
      <c r="AV152" s="1" t="s">
        <v>315</v>
      </c>
      <c r="AW152">
        <v>1</v>
      </c>
      <c r="AX152" t="b">
        <v>0</v>
      </c>
      <c r="AY152" s="1" t="s">
        <v>316</v>
      </c>
      <c r="AZ152">
        <v>228</v>
      </c>
      <c r="BA152" s="1" t="s">
        <v>317</v>
      </c>
    </row>
    <row r="153" spans="1:53" x14ac:dyDescent="0.25">
      <c r="A153">
        <v>29</v>
      </c>
      <c r="B153" s="1" t="s">
        <v>81</v>
      </c>
      <c r="C153">
        <v>202</v>
      </c>
      <c r="D153">
        <v>13.466710000000001</v>
      </c>
      <c r="E153" t="b">
        <v>1</v>
      </c>
      <c r="F153" s="1">
        <v>202</v>
      </c>
      <c r="G153" s="1" t="s">
        <v>305</v>
      </c>
      <c r="H153">
        <v>202</v>
      </c>
      <c r="I153">
        <v>1</v>
      </c>
      <c r="J153">
        <v>0.13500000000000001</v>
      </c>
      <c r="K153" s="1" t="s">
        <v>306</v>
      </c>
      <c r="L153">
        <v>202</v>
      </c>
      <c r="M153" s="1" t="s">
        <v>307</v>
      </c>
      <c r="N153">
        <v>1</v>
      </c>
      <c r="O153">
        <v>0.496</v>
      </c>
      <c r="P153" s="1" t="s">
        <v>306</v>
      </c>
      <c r="Q153">
        <v>202</v>
      </c>
      <c r="R153" s="1" t="s">
        <v>308</v>
      </c>
      <c r="S153">
        <v>1</v>
      </c>
      <c r="T153">
        <v>0.10349999999999999</v>
      </c>
      <c r="U153" s="1" t="s">
        <v>306</v>
      </c>
      <c r="V153">
        <v>202</v>
      </c>
      <c r="W153" s="1" t="s">
        <v>309</v>
      </c>
      <c r="X153">
        <v>1</v>
      </c>
      <c r="Y153">
        <v>5.4100000000000002E-2</v>
      </c>
      <c r="Z153" s="1" t="s">
        <v>306</v>
      </c>
      <c r="AA153">
        <v>202</v>
      </c>
      <c r="AB153" s="1" t="s">
        <v>310</v>
      </c>
      <c r="AC153">
        <v>1</v>
      </c>
      <c r="AD153">
        <v>13.466710000000001</v>
      </c>
      <c r="AE153" s="1" t="s">
        <v>311</v>
      </c>
      <c r="AF153">
        <v>202</v>
      </c>
      <c r="AG153" s="1" t="s">
        <v>312</v>
      </c>
      <c r="AH153">
        <v>1</v>
      </c>
      <c r="AI153">
        <v>2.5899999999999999E-2</v>
      </c>
      <c r="AJ153" s="1" t="s">
        <v>306</v>
      </c>
      <c r="AK153">
        <v>202</v>
      </c>
      <c r="AL153" s="1" t="s">
        <v>313</v>
      </c>
      <c r="AM153">
        <v>1</v>
      </c>
      <c r="AN153">
        <v>0</v>
      </c>
      <c r="AO153" s="1" t="s">
        <v>306</v>
      </c>
      <c r="AP153">
        <v>202</v>
      </c>
      <c r="AQ153" s="1" t="s">
        <v>314</v>
      </c>
      <c r="AR153">
        <v>1</v>
      </c>
      <c r="AS153">
        <v>0.73</v>
      </c>
      <c r="AT153" s="1" t="s">
        <v>306</v>
      </c>
      <c r="AU153">
        <v>202</v>
      </c>
      <c r="AV153" s="1" t="s">
        <v>315</v>
      </c>
      <c r="AW153">
        <v>1</v>
      </c>
      <c r="AX153" t="b">
        <v>0</v>
      </c>
      <c r="AY153" s="1" t="s">
        <v>316</v>
      </c>
      <c r="AZ153">
        <v>202</v>
      </c>
      <c r="BA153" s="1" t="s">
        <v>317</v>
      </c>
    </row>
    <row r="154" spans="1:53" x14ac:dyDescent="0.25">
      <c r="A154">
        <v>194</v>
      </c>
      <c r="B154" s="1" t="s">
        <v>246</v>
      </c>
      <c r="C154">
        <v>586</v>
      </c>
      <c r="D154">
        <v>1</v>
      </c>
      <c r="E154" t="b">
        <v>1</v>
      </c>
      <c r="F154" s="1" t="s">
        <v>304</v>
      </c>
      <c r="G154" s="1" t="s">
        <v>305</v>
      </c>
      <c r="H154">
        <v>586</v>
      </c>
      <c r="I154">
        <v>1</v>
      </c>
      <c r="J154">
        <v>0.27</v>
      </c>
      <c r="K154" s="1" t="s">
        <v>306</v>
      </c>
      <c r="L154">
        <v>586</v>
      </c>
      <c r="M154" s="1" t="s">
        <v>307</v>
      </c>
      <c r="N154">
        <v>1</v>
      </c>
      <c r="O154">
        <v>0.16</v>
      </c>
      <c r="P154" s="1" t="s">
        <v>306</v>
      </c>
      <c r="Q154">
        <v>586</v>
      </c>
      <c r="R154" s="1" t="s">
        <v>308</v>
      </c>
      <c r="S154">
        <v>1</v>
      </c>
      <c r="T154">
        <v>0.114</v>
      </c>
      <c r="U154" s="1" t="s">
        <v>306</v>
      </c>
      <c r="V154">
        <v>586</v>
      </c>
      <c r="W154" s="1" t="s">
        <v>309</v>
      </c>
      <c r="X154">
        <v>1</v>
      </c>
      <c r="Y154">
        <v>2.5000000000000001E-2</v>
      </c>
      <c r="Z154" s="1" t="s">
        <v>306</v>
      </c>
      <c r="AA154">
        <v>586</v>
      </c>
      <c r="AB154" s="1" t="s">
        <v>310</v>
      </c>
      <c r="AC154">
        <v>1</v>
      </c>
      <c r="AD154">
        <v>10.97115</v>
      </c>
      <c r="AE154" s="1" t="s">
        <v>311</v>
      </c>
      <c r="AF154">
        <v>586</v>
      </c>
      <c r="AG154" s="1" t="s">
        <v>312</v>
      </c>
      <c r="AH154">
        <v>1</v>
      </c>
      <c r="AI154">
        <v>7.8E-2</v>
      </c>
      <c r="AJ154" s="1" t="s">
        <v>306</v>
      </c>
      <c r="AK154">
        <v>586</v>
      </c>
      <c r="AL154" s="1" t="s">
        <v>313</v>
      </c>
      <c r="AM154">
        <v>1</v>
      </c>
      <c r="AN154">
        <v>0</v>
      </c>
      <c r="AO154" s="1" t="s">
        <v>306</v>
      </c>
      <c r="AP154">
        <v>586</v>
      </c>
      <c r="AQ154" s="1" t="s">
        <v>314</v>
      </c>
      <c r="AR154">
        <v>1</v>
      </c>
      <c r="AS154">
        <v>0.64</v>
      </c>
      <c r="AT154" s="1" t="s">
        <v>306</v>
      </c>
      <c r="AU154">
        <v>586</v>
      </c>
      <c r="AV154" s="1" t="s">
        <v>315</v>
      </c>
      <c r="AW154">
        <v>1</v>
      </c>
      <c r="AX154" t="b">
        <v>0</v>
      </c>
      <c r="AY154" s="1" t="s">
        <v>316</v>
      </c>
      <c r="AZ154">
        <v>586</v>
      </c>
      <c r="BA154" s="1" t="s">
        <v>317</v>
      </c>
    </row>
    <row r="155" spans="1:53" x14ac:dyDescent="0.25">
      <c r="A155">
        <v>188</v>
      </c>
      <c r="B155" s="1" t="s">
        <v>240</v>
      </c>
      <c r="C155">
        <v>580</v>
      </c>
      <c r="D155">
        <v>1</v>
      </c>
      <c r="E155" t="b">
        <v>1</v>
      </c>
      <c r="F155" s="1" t="s">
        <v>304</v>
      </c>
      <c r="G155" s="1" t="s">
        <v>305</v>
      </c>
      <c r="H155">
        <v>580</v>
      </c>
      <c r="I155">
        <v>1</v>
      </c>
      <c r="J155">
        <v>0.28599999999999998</v>
      </c>
      <c r="K155" s="1" t="s">
        <v>306</v>
      </c>
      <c r="L155">
        <v>580</v>
      </c>
      <c r="M155" s="1" t="s">
        <v>307</v>
      </c>
      <c r="N155">
        <v>1</v>
      </c>
      <c r="O155">
        <v>0.16</v>
      </c>
      <c r="P155" s="1" t="s">
        <v>306</v>
      </c>
      <c r="Q155">
        <v>580</v>
      </c>
      <c r="R155" s="1" t="s">
        <v>308</v>
      </c>
      <c r="S155">
        <v>1</v>
      </c>
      <c r="T155">
        <v>0.125</v>
      </c>
      <c r="U155" s="1" t="s">
        <v>306</v>
      </c>
      <c r="V155">
        <v>580</v>
      </c>
      <c r="W155" s="1" t="s">
        <v>309</v>
      </c>
      <c r="X155">
        <v>1</v>
      </c>
      <c r="Y155">
        <v>0.02</v>
      </c>
      <c r="Z155" s="1" t="s">
        <v>306</v>
      </c>
      <c r="AA155">
        <v>580</v>
      </c>
      <c r="AB155" s="1" t="s">
        <v>310</v>
      </c>
      <c r="AC155">
        <v>1</v>
      </c>
      <c r="AD155">
        <v>10.928190000000001</v>
      </c>
      <c r="AE155" s="1" t="s">
        <v>311</v>
      </c>
      <c r="AF155">
        <v>580</v>
      </c>
      <c r="AG155" s="1" t="s">
        <v>312</v>
      </c>
      <c r="AH155">
        <v>1</v>
      </c>
      <c r="AI155">
        <v>8.1000000000000003E-2</v>
      </c>
      <c r="AJ155" s="1" t="s">
        <v>306</v>
      </c>
      <c r="AK155">
        <v>580</v>
      </c>
      <c r="AL155" s="1" t="s">
        <v>313</v>
      </c>
      <c r="AM155">
        <v>1</v>
      </c>
      <c r="AN155">
        <v>0</v>
      </c>
      <c r="AO155" s="1" t="s">
        <v>306</v>
      </c>
      <c r="AP155">
        <v>580</v>
      </c>
      <c r="AQ155" s="1" t="s">
        <v>314</v>
      </c>
      <c r="AR155">
        <v>1</v>
      </c>
      <c r="AS155">
        <v>0.64</v>
      </c>
      <c r="AT155" s="1" t="s">
        <v>306</v>
      </c>
      <c r="AU155">
        <v>580</v>
      </c>
      <c r="AV155" s="1" t="s">
        <v>315</v>
      </c>
      <c r="AW155">
        <v>1</v>
      </c>
      <c r="AX155" t="b">
        <v>0</v>
      </c>
      <c r="AY155" s="1" t="s">
        <v>316</v>
      </c>
      <c r="AZ155">
        <v>580</v>
      </c>
      <c r="BA155" s="1" t="s">
        <v>317</v>
      </c>
    </row>
    <row r="156" spans="1:53" x14ac:dyDescent="0.25">
      <c r="A156">
        <v>46</v>
      </c>
      <c r="B156" s="1" t="s">
        <v>98</v>
      </c>
      <c r="C156">
        <v>225</v>
      </c>
      <c r="D156">
        <v>14.786149999999999</v>
      </c>
      <c r="E156" t="b">
        <v>0</v>
      </c>
      <c r="F156" s="1">
        <v>225</v>
      </c>
      <c r="G156" s="1" t="s">
        <v>305</v>
      </c>
      <c r="H156">
        <v>225</v>
      </c>
      <c r="I156">
        <v>1</v>
      </c>
      <c r="J156">
        <v>3.3000000000000002E-2</v>
      </c>
      <c r="K156" s="1" t="s">
        <v>306</v>
      </c>
      <c r="L156">
        <v>225</v>
      </c>
      <c r="M156" s="1" t="s">
        <v>307</v>
      </c>
      <c r="N156">
        <v>1</v>
      </c>
      <c r="O156">
        <v>0.58099999999999996</v>
      </c>
      <c r="P156" s="1" t="s">
        <v>306</v>
      </c>
      <c r="Q156">
        <v>225</v>
      </c>
      <c r="R156" s="1" t="s">
        <v>308</v>
      </c>
      <c r="S156">
        <v>1</v>
      </c>
      <c r="T156">
        <v>0.16</v>
      </c>
      <c r="U156" s="1" t="s">
        <v>306</v>
      </c>
      <c r="V156">
        <v>225</v>
      </c>
      <c r="W156" s="1" t="s">
        <v>309</v>
      </c>
      <c r="X156">
        <v>1</v>
      </c>
      <c r="Y156">
        <v>6.7000000000000004E-2</v>
      </c>
      <c r="Z156" s="1" t="s">
        <v>306</v>
      </c>
      <c r="AA156">
        <v>225</v>
      </c>
      <c r="AB156" s="1" t="s">
        <v>310</v>
      </c>
      <c r="AC156">
        <v>1</v>
      </c>
      <c r="AD156">
        <v>14.786149999999999</v>
      </c>
      <c r="AE156" s="1" t="s">
        <v>311</v>
      </c>
      <c r="AF156">
        <v>225</v>
      </c>
      <c r="AG156" s="1" t="s">
        <v>312</v>
      </c>
      <c r="AH156">
        <v>1</v>
      </c>
      <c r="AI156">
        <v>2.3E-2</v>
      </c>
      <c r="AJ156" s="1" t="s">
        <v>306</v>
      </c>
      <c r="AK156">
        <v>225</v>
      </c>
      <c r="AL156" s="1" t="s">
        <v>313</v>
      </c>
      <c r="AM156">
        <v>1</v>
      </c>
      <c r="AN156">
        <v>0</v>
      </c>
      <c r="AO156" s="1" t="s">
        <v>306</v>
      </c>
      <c r="AP156">
        <v>225</v>
      </c>
      <c r="AQ156" s="1" t="s">
        <v>314</v>
      </c>
      <c r="AR156">
        <v>1</v>
      </c>
      <c r="AS156">
        <v>0.77200999999999997</v>
      </c>
      <c r="AT156" s="1" t="s">
        <v>306</v>
      </c>
      <c r="AU156">
        <v>225</v>
      </c>
      <c r="AV156" s="1" t="s">
        <v>315</v>
      </c>
      <c r="AW156">
        <v>1</v>
      </c>
      <c r="AX156" t="b">
        <v>0</v>
      </c>
      <c r="AY156" s="1" t="s">
        <v>316</v>
      </c>
      <c r="AZ156">
        <v>225</v>
      </c>
      <c r="BA156" s="1" t="s">
        <v>317</v>
      </c>
    </row>
    <row r="157" spans="1:53" x14ac:dyDescent="0.25">
      <c r="A157">
        <v>152</v>
      </c>
      <c r="B157" s="1" t="s">
        <v>204</v>
      </c>
      <c r="C157">
        <v>480</v>
      </c>
      <c r="D157">
        <v>1</v>
      </c>
      <c r="E157" t="b">
        <v>0</v>
      </c>
      <c r="F157" s="1" t="s">
        <v>304</v>
      </c>
      <c r="G157" s="1" t="s">
        <v>305</v>
      </c>
      <c r="H157">
        <v>480</v>
      </c>
      <c r="I157">
        <v>1</v>
      </c>
      <c r="J157">
        <v>0.28000000000000003</v>
      </c>
      <c r="K157" s="1" t="s">
        <v>306</v>
      </c>
      <c r="L157">
        <v>480</v>
      </c>
      <c r="M157" s="1" t="s">
        <v>307</v>
      </c>
      <c r="N157">
        <v>1</v>
      </c>
      <c r="O157">
        <v>0.18</v>
      </c>
      <c r="P157" s="1" t="s">
        <v>306</v>
      </c>
      <c r="Q157">
        <v>480</v>
      </c>
      <c r="R157" s="1" t="s">
        <v>308</v>
      </c>
      <c r="S157">
        <v>1</v>
      </c>
      <c r="T157">
        <v>0.14000000000000001</v>
      </c>
      <c r="U157" s="1" t="s">
        <v>306</v>
      </c>
      <c r="V157">
        <v>480</v>
      </c>
      <c r="W157" s="1" t="s">
        <v>309</v>
      </c>
      <c r="X157">
        <v>1</v>
      </c>
      <c r="Y157">
        <v>2.9000000000000001E-2</v>
      </c>
      <c r="Z157" s="1" t="s">
        <v>306</v>
      </c>
      <c r="AA157">
        <v>480</v>
      </c>
      <c r="AB157" s="1" t="s">
        <v>310</v>
      </c>
      <c r="AC157">
        <v>1</v>
      </c>
      <c r="AD157">
        <v>11.57766</v>
      </c>
      <c r="AE157" s="1" t="s">
        <v>311</v>
      </c>
      <c r="AF157">
        <v>480</v>
      </c>
      <c r="AG157" s="1" t="s">
        <v>312</v>
      </c>
      <c r="AH157">
        <v>1</v>
      </c>
      <c r="AI157">
        <v>8.6999999999999994E-2</v>
      </c>
      <c r="AJ157" s="1" t="s">
        <v>306</v>
      </c>
      <c r="AK157">
        <v>480</v>
      </c>
      <c r="AL157" s="1" t="s">
        <v>313</v>
      </c>
      <c r="AM157">
        <v>1</v>
      </c>
      <c r="AN157">
        <v>0</v>
      </c>
      <c r="AO157" s="1" t="s">
        <v>306</v>
      </c>
      <c r="AP157">
        <v>480</v>
      </c>
      <c r="AQ157" s="1" t="s">
        <v>314</v>
      </c>
      <c r="AR157">
        <v>1</v>
      </c>
      <c r="AS157">
        <v>0.67</v>
      </c>
      <c r="AT157" s="1" t="s">
        <v>306</v>
      </c>
      <c r="AU157">
        <v>480</v>
      </c>
      <c r="AV157" s="1" t="s">
        <v>315</v>
      </c>
      <c r="AW157">
        <v>1</v>
      </c>
      <c r="AX157" t="b">
        <v>0</v>
      </c>
      <c r="AY157" s="1" t="s">
        <v>316</v>
      </c>
      <c r="AZ157">
        <v>480</v>
      </c>
      <c r="BA157" s="1" t="s">
        <v>317</v>
      </c>
    </row>
    <row r="158" spans="1:53" x14ac:dyDescent="0.25">
      <c r="A158">
        <v>155</v>
      </c>
      <c r="B158" s="1" t="s">
        <v>207</v>
      </c>
      <c r="C158">
        <v>486</v>
      </c>
      <c r="D158">
        <v>1</v>
      </c>
      <c r="E158" t="b">
        <v>1</v>
      </c>
      <c r="F158" s="1" t="s">
        <v>304</v>
      </c>
      <c r="G158" s="1" t="s">
        <v>305</v>
      </c>
      <c r="H158">
        <v>486</v>
      </c>
      <c r="I158">
        <v>1</v>
      </c>
      <c r="J158">
        <v>0.25</v>
      </c>
      <c r="K158" s="1" t="s">
        <v>306</v>
      </c>
      <c r="L158">
        <v>486</v>
      </c>
      <c r="M158" s="1" t="s">
        <v>307</v>
      </c>
      <c r="N158">
        <v>1</v>
      </c>
      <c r="O158">
        <v>0.18</v>
      </c>
      <c r="P158" s="1" t="s">
        <v>306</v>
      </c>
      <c r="Q158">
        <v>486</v>
      </c>
      <c r="R158" s="1" t="s">
        <v>308</v>
      </c>
      <c r="S158">
        <v>1</v>
      </c>
      <c r="T158">
        <v>0.13</v>
      </c>
      <c r="U158" s="1" t="s">
        <v>306</v>
      </c>
      <c r="V158">
        <v>486</v>
      </c>
      <c r="W158" s="1" t="s">
        <v>309</v>
      </c>
      <c r="X158">
        <v>1</v>
      </c>
      <c r="Y158">
        <v>2.5000000000000001E-2</v>
      </c>
      <c r="Z158" s="1" t="s">
        <v>306</v>
      </c>
      <c r="AA158">
        <v>486</v>
      </c>
      <c r="AB158" s="1" t="s">
        <v>310</v>
      </c>
      <c r="AC158">
        <v>1</v>
      </c>
      <c r="AD158">
        <v>11.5509</v>
      </c>
      <c r="AE158" s="1" t="s">
        <v>311</v>
      </c>
      <c r="AF158">
        <v>486</v>
      </c>
      <c r="AG158" s="1" t="s">
        <v>312</v>
      </c>
      <c r="AH158">
        <v>1</v>
      </c>
      <c r="AI158">
        <v>8.5000000000000006E-2</v>
      </c>
      <c r="AJ158" s="1" t="s">
        <v>306</v>
      </c>
      <c r="AK158">
        <v>486</v>
      </c>
      <c r="AL158" s="1" t="s">
        <v>313</v>
      </c>
      <c r="AM158">
        <v>1</v>
      </c>
      <c r="AN158">
        <v>0</v>
      </c>
      <c r="AO158" s="1" t="s">
        <v>306</v>
      </c>
      <c r="AP158">
        <v>486</v>
      </c>
      <c r="AQ158" s="1" t="s">
        <v>314</v>
      </c>
      <c r="AR158">
        <v>1</v>
      </c>
      <c r="AS158">
        <v>0.67500000000000004</v>
      </c>
      <c r="AT158" s="1" t="s">
        <v>306</v>
      </c>
      <c r="AU158">
        <v>486</v>
      </c>
      <c r="AV158" s="1" t="s">
        <v>315</v>
      </c>
      <c r="AW158">
        <v>1</v>
      </c>
      <c r="AX158" t="b">
        <v>0</v>
      </c>
      <c r="AY158" s="1" t="s">
        <v>316</v>
      </c>
      <c r="AZ158">
        <v>486</v>
      </c>
      <c r="BA158" s="1" t="s">
        <v>317</v>
      </c>
    </row>
    <row r="159" spans="1:53" x14ac:dyDescent="0.25">
      <c r="A159">
        <v>10</v>
      </c>
      <c r="B159" s="1" t="s">
        <v>62</v>
      </c>
      <c r="C159">
        <v>136</v>
      </c>
      <c r="D159">
        <v>13.20119</v>
      </c>
      <c r="E159" t="b">
        <v>0</v>
      </c>
      <c r="F159" s="1">
        <v>136</v>
      </c>
      <c r="G159" s="1" t="s">
        <v>305</v>
      </c>
      <c r="H159">
        <v>136</v>
      </c>
      <c r="I159">
        <v>1</v>
      </c>
      <c r="J159">
        <v>0.218</v>
      </c>
      <c r="K159" s="1" t="s">
        <v>306</v>
      </c>
      <c r="L159">
        <v>136</v>
      </c>
      <c r="M159" s="1" t="s">
        <v>307</v>
      </c>
      <c r="N159">
        <v>1</v>
      </c>
      <c r="O159">
        <v>0.03</v>
      </c>
      <c r="P159" s="1" t="s">
        <v>306</v>
      </c>
      <c r="Q159">
        <v>136</v>
      </c>
      <c r="R159" s="1" t="s">
        <v>308</v>
      </c>
      <c r="S159">
        <v>1</v>
      </c>
      <c r="T159">
        <v>0.16200000000000001</v>
      </c>
      <c r="U159" s="1" t="s">
        <v>306</v>
      </c>
      <c r="V159">
        <v>136</v>
      </c>
      <c r="W159" s="1" t="s">
        <v>309</v>
      </c>
      <c r="X159">
        <v>1</v>
      </c>
      <c r="Y159">
        <v>0.109</v>
      </c>
      <c r="Z159" s="1" t="s">
        <v>306</v>
      </c>
      <c r="AA159">
        <v>136</v>
      </c>
      <c r="AB159" s="1" t="s">
        <v>310</v>
      </c>
      <c r="AC159">
        <v>1</v>
      </c>
      <c r="AD159">
        <v>13.20119</v>
      </c>
      <c r="AE159" s="1" t="s">
        <v>311</v>
      </c>
      <c r="AF159">
        <v>136</v>
      </c>
      <c r="AG159" s="1" t="s">
        <v>312</v>
      </c>
      <c r="AH159">
        <v>1</v>
      </c>
      <c r="AI159">
        <v>4.2000000000000003E-2</v>
      </c>
      <c r="AJ159" s="1" t="s">
        <v>306</v>
      </c>
      <c r="AK159">
        <v>136</v>
      </c>
      <c r="AL159" s="1" t="s">
        <v>313</v>
      </c>
      <c r="AM159">
        <v>1</v>
      </c>
      <c r="AN159">
        <v>0</v>
      </c>
      <c r="AO159" s="1" t="s">
        <v>306</v>
      </c>
      <c r="AP159">
        <v>136</v>
      </c>
      <c r="AQ159" s="1" t="s">
        <v>314</v>
      </c>
      <c r="AR159">
        <v>1</v>
      </c>
      <c r="AS159">
        <v>0.65</v>
      </c>
      <c r="AT159" s="1" t="s">
        <v>306</v>
      </c>
      <c r="AU159">
        <v>136</v>
      </c>
      <c r="AV159" s="1" t="s">
        <v>315</v>
      </c>
      <c r="AW159">
        <v>1</v>
      </c>
      <c r="AX159" t="b">
        <v>0</v>
      </c>
      <c r="AY159" s="1" t="s">
        <v>316</v>
      </c>
      <c r="AZ159">
        <v>136</v>
      </c>
      <c r="BA159" s="1" t="s">
        <v>317</v>
      </c>
    </row>
    <row r="160" spans="1:53" x14ac:dyDescent="0.25">
      <c r="A160">
        <v>247</v>
      </c>
      <c r="B160" s="1" t="s">
        <v>298</v>
      </c>
      <c r="C160">
        <v>799</v>
      </c>
      <c r="D160">
        <v>1</v>
      </c>
      <c r="E160" t="b">
        <v>0</v>
      </c>
      <c r="F160" s="1" t="s">
        <v>304</v>
      </c>
      <c r="G160" s="1" t="s">
        <v>305</v>
      </c>
      <c r="H160">
        <v>799</v>
      </c>
      <c r="I160">
        <v>1</v>
      </c>
      <c r="J160">
        <v>0.41</v>
      </c>
      <c r="K160" s="1" t="s">
        <v>306</v>
      </c>
      <c r="L160">
        <v>799</v>
      </c>
      <c r="M160" s="1" t="s">
        <v>307</v>
      </c>
      <c r="N160">
        <v>1</v>
      </c>
      <c r="O160">
        <v>0</v>
      </c>
      <c r="P160" s="1" t="s">
        <v>306</v>
      </c>
      <c r="Q160">
        <v>799</v>
      </c>
      <c r="R160" s="1" t="s">
        <v>308</v>
      </c>
      <c r="S160">
        <v>1</v>
      </c>
      <c r="T160">
        <v>7.1999999999999995E-2</v>
      </c>
      <c r="U160" s="1" t="s">
        <v>306</v>
      </c>
      <c r="V160">
        <v>799</v>
      </c>
      <c r="W160" s="1" t="s">
        <v>309</v>
      </c>
      <c r="X160">
        <v>1</v>
      </c>
      <c r="Y160">
        <v>1.6E-2</v>
      </c>
      <c r="Z160" s="1" t="s">
        <v>306</v>
      </c>
      <c r="AA160">
        <v>799</v>
      </c>
      <c r="AB160" s="1" t="s">
        <v>310</v>
      </c>
      <c r="AC160">
        <v>1</v>
      </c>
      <c r="AD160">
        <v>8.4429250000000007</v>
      </c>
      <c r="AE160" s="1" t="s">
        <v>311</v>
      </c>
      <c r="AF160">
        <v>799</v>
      </c>
      <c r="AG160" s="1" t="s">
        <v>312</v>
      </c>
      <c r="AH160">
        <v>1</v>
      </c>
      <c r="AI160">
        <v>0.1</v>
      </c>
      <c r="AJ160" s="1" t="s">
        <v>306</v>
      </c>
      <c r="AK160">
        <v>799</v>
      </c>
      <c r="AL160" s="1" t="s">
        <v>313</v>
      </c>
      <c r="AM160">
        <v>1</v>
      </c>
      <c r="AN160">
        <v>0</v>
      </c>
      <c r="AO160" s="1" t="s">
        <v>306</v>
      </c>
      <c r="AP160">
        <v>799</v>
      </c>
      <c r="AQ160" s="1" t="s">
        <v>314</v>
      </c>
      <c r="AR160">
        <v>1</v>
      </c>
      <c r="AS160">
        <v>0.52</v>
      </c>
      <c r="AT160" s="1" t="s">
        <v>306</v>
      </c>
      <c r="AU160">
        <v>799</v>
      </c>
      <c r="AV160" s="1" t="s">
        <v>315</v>
      </c>
      <c r="AW160">
        <v>1</v>
      </c>
      <c r="AX160" t="b">
        <v>0</v>
      </c>
      <c r="AY160" s="1" t="s">
        <v>316</v>
      </c>
      <c r="AZ160">
        <v>799</v>
      </c>
      <c r="BA160" s="1" t="s">
        <v>317</v>
      </c>
    </row>
    <row r="161" spans="1:53" x14ac:dyDescent="0.25">
      <c r="A161">
        <v>7</v>
      </c>
      <c r="B161" s="1" t="s">
        <v>59</v>
      </c>
      <c r="C161">
        <v>125</v>
      </c>
      <c r="D161">
        <v>15.91494</v>
      </c>
      <c r="E161" t="b">
        <v>0</v>
      </c>
      <c r="F161" s="1">
        <v>125</v>
      </c>
      <c r="G161" s="1" t="s">
        <v>305</v>
      </c>
      <c r="H161">
        <v>125</v>
      </c>
      <c r="I161">
        <v>1</v>
      </c>
      <c r="J161">
        <v>0.104</v>
      </c>
      <c r="K161" s="1" t="s">
        <v>306</v>
      </c>
      <c r="L161">
        <v>125</v>
      </c>
      <c r="M161" s="1" t="s">
        <v>307</v>
      </c>
      <c r="N161">
        <v>1</v>
      </c>
      <c r="O161">
        <v>0.13500000000000001</v>
      </c>
      <c r="P161" s="1" t="s">
        <v>306</v>
      </c>
      <c r="Q161">
        <v>125</v>
      </c>
      <c r="R161" s="1" t="s">
        <v>308</v>
      </c>
      <c r="S161">
        <v>1</v>
      </c>
      <c r="T161">
        <v>0.51</v>
      </c>
      <c r="U161" s="1" t="s">
        <v>306</v>
      </c>
      <c r="V161">
        <v>125</v>
      </c>
      <c r="W161" s="1" t="s">
        <v>309</v>
      </c>
      <c r="X161">
        <v>1</v>
      </c>
      <c r="Y161">
        <v>1.2E-2</v>
      </c>
      <c r="Z161" s="1" t="s">
        <v>306</v>
      </c>
      <c r="AA161">
        <v>125</v>
      </c>
      <c r="AB161" s="1" t="s">
        <v>310</v>
      </c>
      <c r="AC161">
        <v>1</v>
      </c>
      <c r="AD161">
        <v>15.91494</v>
      </c>
      <c r="AE161" s="1" t="s">
        <v>311</v>
      </c>
      <c r="AF161">
        <v>125</v>
      </c>
      <c r="AG161" s="1" t="s">
        <v>312</v>
      </c>
      <c r="AH161">
        <v>1</v>
      </c>
      <c r="AI161">
        <v>6.3E-2</v>
      </c>
      <c r="AJ161" s="1" t="s">
        <v>306</v>
      </c>
      <c r="AK161">
        <v>125</v>
      </c>
      <c r="AL161" s="1" t="s">
        <v>313</v>
      </c>
      <c r="AM161">
        <v>1</v>
      </c>
      <c r="AN161">
        <v>0</v>
      </c>
      <c r="AO161" s="1" t="s">
        <v>306</v>
      </c>
      <c r="AP161">
        <v>125</v>
      </c>
      <c r="AQ161" s="1" t="s">
        <v>314</v>
      </c>
      <c r="AR161">
        <v>1</v>
      </c>
      <c r="AS161">
        <v>0.79008</v>
      </c>
      <c r="AT161" s="1" t="s">
        <v>306</v>
      </c>
      <c r="AU161">
        <v>125</v>
      </c>
      <c r="AV161" s="1" t="s">
        <v>315</v>
      </c>
      <c r="AW161">
        <v>1</v>
      </c>
      <c r="AX161" t="b">
        <v>0</v>
      </c>
      <c r="AY161" s="1" t="s">
        <v>316</v>
      </c>
      <c r="AZ161">
        <v>125</v>
      </c>
      <c r="BA161" s="1" t="s">
        <v>317</v>
      </c>
    </row>
    <row r="162" spans="1:53" x14ac:dyDescent="0.25">
      <c r="A162">
        <v>41</v>
      </c>
      <c r="B162" s="1" t="s">
        <v>93</v>
      </c>
      <c r="C162">
        <v>216</v>
      </c>
      <c r="D162">
        <v>16.939769999999999</v>
      </c>
      <c r="E162" t="b">
        <v>1</v>
      </c>
      <c r="F162" s="1">
        <v>216</v>
      </c>
      <c r="G162" s="1" t="s">
        <v>305</v>
      </c>
      <c r="H162">
        <v>216</v>
      </c>
      <c r="I162">
        <v>1</v>
      </c>
      <c r="J162">
        <v>6.3529409999999994E-2</v>
      </c>
      <c r="K162" s="1" t="s">
        <v>306</v>
      </c>
      <c r="L162">
        <v>216</v>
      </c>
      <c r="M162" s="1" t="s">
        <v>307</v>
      </c>
      <c r="N162">
        <v>1</v>
      </c>
      <c r="O162">
        <v>0.54176469999999999</v>
      </c>
      <c r="P162" s="1" t="s">
        <v>306</v>
      </c>
      <c r="Q162">
        <v>216</v>
      </c>
      <c r="R162" s="1" t="s">
        <v>308</v>
      </c>
      <c r="S162">
        <v>1</v>
      </c>
      <c r="T162">
        <v>0.24823519999999999</v>
      </c>
      <c r="U162" s="1" t="s">
        <v>306</v>
      </c>
      <c r="V162">
        <v>216</v>
      </c>
      <c r="W162" s="1" t="s">
        <v>309</v>
      </c>
      <c r="X162">
        <v>1</v>
      </c>
      <c r="Y162">
        <v>0.02</v>
      </c>
      <c r="Z162" s="1" t="s">
        <v>306</v>
      </c>
      <c r="AA162">
        <v>216</v>
      </c>
      <c r="AB162" s="1" t="s">
        <v>310</v>
      </c>
      <c r="AC162">
        <v>1</v>
      </c>
      <c r="AD162">
        <v>16.939769999999999</v>
      </c>
      <c r="AE162" s="1" t="s">
        <v>311</v>
      </c>
      <c r="AF162">
        <v>216</v>
      </c>
      <c r="AG162" s="1" t="s">
        <v>312</v>
      </c>
      <c r="AH162">
        <v>1</v>
      </c>
      <c r="AI162">
        <v>3.2940999999999998E-2</v>
      </c>
      <c r="AJ162" s="1" t="s">
        <v>306</v>
      </c>
      <c r="AK162">
        <v>216</v>
      </c>
      <c r="AL162" s="1" t="s">
        <v>313</v>
      </c>
      <c r="AM162">
        <v>1</v>
      </c>
      <c r="AN162">
        <v>0</v>
      </c>
      <c r="AO162" s="1" t="s">
        <v>306</v>
      </c>
      <c r="AP162">
        <v>216</v>
      </c>
      <c r="AQ162" s="1" t="s">
        <v>314</v>
      </c>
      <c r="AR162">
        <v>1</v>
      </c>
      <c r="AS162">
        <v>0.92</v>
      </c>
      <c r="AT162" s="1" t="s">
        <v>306</v>
      </c>
      <c r="AU162">
        <v>216</v>
      </c>
      <c r="AV162" s="1" t="s">
        <v>315</v>
      </c>
      <c r="AW162">
        <v>1</v>
      </c>
      <c r="AX162" t="b">
        <v>0</v>
      </c>
      <c r="AY162" s="1" t="s">
        <v>316</v>
      </c>
      <c r="AZ162">
        <v>216</v>
      </c>
      <c r="BA162" s="1" t="s">
        <v>317</v>
      </c>
    </row>
    <row r="163" spans="1:53" x14ac:dyDescent="0.25">
      <c r="A163">
        <v>207</v>
      </c>
      <c r="B163" s="1" t="s">
        <v>259</v>
      </c>
      <c r="C163">
        <v>599</v>
      </c>
      <c r="D163">
        <v>1</v>
      </c>
      <c r="E163" t="b">
        <v>1</v>
      </c>
      <c r="F163" s="1" t="s">
        <v>304</v>
      </c>
      <c r="G163" s="1" t="s">
        <v>305</v>
      </c>
      <c r="H163">
        <v>599</v>
      </c>
      <c r="I163">
        <v>1</v>
      </c>
      <c r="J163">
        <v>0.22</v>
      </c>
      <c r="K163" s="1" t="s">
        <v>306</v>
      </c>
      <c r="L163">
        <v>599</v>
      </c>
      <c r="M163" s="1" t="s">
        <v>307</v>
      </c>
      <c r="N163">
        <v>1</v>
      </c>
      <c r="O163">
        <v>0.17699999999999999</v>
      </c>
      <c r="P163" s="1" t="s">
        <v>306</v>
      </c>
      <c r="Q163">
        <v>599</v>
      </c>
      <c r="R163" s="1" t="s">
        <v>308</v>
      </c>
      <c r="S163">
        <v>1</v>
      </c>
      <c r="T163">
        <v>0.16700000000000001</v>
      </c>
      <c r="U163" s="1" t="s">
        <v>306</v>
      </c>
      <c r="V163">
        <v>599</v>
      </c>
      <c r="W163" s="1" t="s">
        <v>309</v>
      </c>
      <c r="X163">
        <v>1</v>
      </c>
      <c r="Y163">
        <v>0.02</v>
      </c>
      <c r="Z163" s="1" t="s">
        <v>306</v>
      </c>
      <c r="AA163">
        <v>599</v>
      </c>
      <c r="AB163" s="1" t="s">
        <v>310</v>
      </c>
      <c r="AC163">
        <v>1</v>
      </c>
      <c r="AD163">
        <v>12.487819999999999</v>
      </c>
      <c r="AE163" s="1" t="s">
        <v>311</v>
      </c>
      <c r="AF163">
        <v>599</v>
      </c>
      <c r="AG163" s="1" t="s">
        <v>312</v>
      </c>
      <c r="AH163">
        <v>1</v>
      </c>
      <c r="AI163">
        <v>8.5999999999999993E-2</v>
      </c>
      <c r="AJ163" s="1" t="s">
        <v>306</v>
      </c>
      <c r="AK163">
        <v>599</v>
      </c>
      <c r="AL163" s="1" t="s">
        <v>313</v>
      </c>
      <c r="AM163">
        <v>1</v>
      </c>
      <c r="AN163">
        <v>0</v>
      </c>
      <c r="AO163" s="1" t="s">
        <v>306</v>
      </c>
      <c r="AP163">
        <v>599</v>
      </c>
      <c r="AQ163" s="1" t="s">
        <v>314</v>
      </c>
      <c r="AR163">
        <v>1</v>
      </c>
      <c r="AS163">
        <v>0.72499999999999998</v>
      </c>
      <c r="AT163" s="1" t="s">
        <v>306</v>
      </c>
      <c r="AU163">
        <v>599</v>
      </c>
      <c r="AV163" s="1" t="s">
        <v>315</v>
      </c>
      <c r="AW163">
        <v>1</v>
      </c>
      <c r="AX163" t="b">
        <v>0</v>
      </c>
      <c r="AY163" s="1" t="s">
        <v>316</v>
      </c>
      <c r="AZ163">
        <v>599</v>
      </c>
      <c r="BA163" s="1" t="s">
        <v>317</v>
      </c>
    </row>
    <row r="164" spans="1:53" x14ac:dyDescent="0.25">
      <c r="A164">
        <v>158</v>
      </c>
      <c r="B164" s="1" t="s">
        <v>210</v>
      </c>
      <c r="C164">
        <v>499</v>
      </c>
      <c r="D164">
        <v>1</v>
      </c>
      <c r="E164" t="b">
        <v>1</v>
      </c>
      <c r="F164" s="1" t="s">
        <v>304</v>
      </c>
      <c r="G164" s="1" t="s">
        <v>305</v>
      </c>
      <c r="H164">
        <v>499</v>
      </c>
      <c r="I164">
        <v>1</v>
      </c>
      <c r="J164">
        <v>0.2</v>
      </c>
      <c r="K164" s="1" t="s">
        <v>306</v>
      </c>
      <c r="L164">
        <v>499</v>
      </c>
      <c r="M164" s="1" t="s">
        <v>307</v>
      </c>
      <c r="N164">
        <v>1</v>
      </c>
      <c r="O164">
        <v>0.27</v>
      </c>
      <c r="P164" s="1" t="s">
        <v>306</v>
      </c>
      <c r="Q164">
        <v>499</v>
      </c>
      <c r="R164" s="1" t="s">
        <v>308</v>
      </c>
      <c r="S164">
        <v>1</v>
      </c>
      <c r="T164">
        <v>0.16500000000000001</v>
      </c>
      <c r="U164" s="1" t="s">
        <v>306</v>
      </c>
      <c r="V164">
        <v>499</v>
      </c>
      <c r="W164" s="1" t="s">
        <v>309</v>
      </c>
      <c r="X164">
        <v>1</v>
      </c>
      <c r="Y164">
        <v>0.03</v>
      </c>
      <c r="Z164" s="1" t="s">
        <v>306</v>
      </c>
      <c r="AA164">
        <v>499</v>
      </c>
      <c r="AB164" s="1" t="s">
        <v>310</v>
      </c>
      <c r="AC164">
        <v>1</v>
      </c>
      <c r="AD164">
        <v>13.26867</v>
      </c>
      <c r="AE164" s="1" t="s">
        <v>311</v>
      </c>
      <c r="AF164">
        <v>499</v>
      </c>
      <c r="AG164" s="1" t="s">
        <v>312</v>
      </c>
      <c r="AH164">
        <v>1</v>
      </c>
      <c r="AI164">
        <v>0.08</v>
      </c>
      <c r="AJ164" s="1" t="s">
        <v>306</v>
      </c>
      <c r="AK164">
        <v>499</v>
      </c>
      <c r="AL164" s="1" t="s">
        <v>313</v>
      </c>
      <c r="AM164">
        <v>1</v>
      </c>
      <c r="AN164">
        <v>0</v>
      </c>
      <c r="AO164" s="1" t="s">
        <v>306</v>
      </c>
      <c r="AP164">
        <v>499</v>
      </c>
      <c r="AQ164" s="1" t="s">
        <v>314</v>
      </c>
      <c r="AR164">
        <v>1</v>
      </c>
      <c r="AS164">
        <v>0.76</v>
      </c>
      <c r="AT164" s="1" t="s">
        <v>306</v>
      </c>
      <c r="AU164">
        <v>499</v>
      </c>
      <c r="AV164" s="1" t="s">
        <v>315</v>
      </c>
      <c r="AW164">
        <v>1</v>
      </c>
      <c r="AX164" t="b">
        <v>0</v>
      </c>
      <c r="AY164" s="1" t="s">
        <v>316</v>
      </c>
      <c r="AZ164">
        <v>499</v>
      </c>
      <c r="BA164" s="1" t="s">
        <v>317</v>
      </c>
    </row>
    <row r="165" spans="1:53" x14ac:dyDescent="0.25">
      <c r="A165">
        <v>85</v>
      </c>
      <c r="B165" s="1" t="s">
        <v>137</v>
      </c>
      <c r="C165">
        <v>294</v>
      </c>
      <c r="D165">
        <v>11.88425</v>
      </c>
      <c r="E165" t="b">
        <v>0</v>
      </c>
      <c r="F165" s="1">
        <v>294</v>
      </c>
      <c r="G165" s="1" t="s">
        <v>305</v>
      </c>
      <c r="H165">
        <v>294</v>
      </c>
      <c r="I165">
        <v>1</v>
      </c>
      <c r="J165">
        <v>0.45</v>
      </c>
      <c r="K165" s="1" t="s">
        <v>306</v>
      </c>
      <c r="L165">
        <v>294</v>
      </c>
      <c r="M165" s="1" t="s">
        <v>307</v>
      </c>
      <c r="N165">
        <v>1</v>
      </c>
      <c r="O165">
        <v>0</v>
      </c>
      <c r="P165" s="1" t="s">
        <v>306</v>
      </c>
      <c r="Q165">
        <v>294</v>
      </c>
      <c r="R165" s="1" t="s">
        <v>308</v>
      </c>
      <c r="S165">
        <v>1</v>
      </c>
      <c r="T165">
        <v>7.5999999999999998E-2</v>
      </c>
      <c r="U165" s="1" t="s">
        <v>306</v>
      </c>
      <c r="V165">
        <v>294</v>
      </c>
      <c r="W165" s="1" t="s">
        <v>309</v>
      </c>
      <c r="X165">
        <v>1</v>
      </c>
      <c r="Y165">
        <v>0.03</v>
      </c>
      <c r="Z165" s="1" t="s">
        <v>306</v>
      </c>
      <c r="AA165">
        <v>294</v>
      </c>
      <c r="AB165" s="1" t="s">
        <v>310</v>
      </c>
      <c r="AC165">
        <v>1</v>
      </c>
      <c r="AD165">
        <v>11.88425</v>
      </c>
      <c r="AE165" s="1" t="s">
        <v>311</v>
      </c>
      <c r="AF165">
        <v>294</v>
      </c>
      <c r="AG165" s="1" t="s">
        <v>312</v>
      </c>
      <c r="AH165">
        <v>1</v>
      </c>
      <c r="AI165">
        <v>1.9E-2</v>
      </c>
      <c r="AJ165" s="1" t="s">
        <v>306</v>
      </c>
      <c r="AK165">
        <v>294</v>
      </c>
      <c r="AL165" s="1" t="s">
        <v>313</v>
      </c>
      <c r="AM165">
        <v>1</v>
      </c>
      <c r="AN165">
        <v>0</v>
      </c>
      <c r="AO165" s="1" t="s">
        <v>306</v>
      </c>
      <c r="AP165">
        <v>294</v>
      </c>
      <c r="AQ165" s="1" t="s">
        <v>314</v>
      </c>
      <c r="AR165">
        <v>1</v>
      </c>
      <c r="AS165">
        <v>0.66500000000000004</v>
      </c>
      <c r="AT165" s="1" t="s">
        <v>306</v>
      </c>
      <c r="AU165">
        <v>294</v>
      </c>
      <c r="AV165" s="1" t="s">
        <v>315</v>
      </c>
      <c r="AW165">
        <v>1</v>
      </c>
      <c r="AX165" t="b">
        <v>0</v>
      </c>
      <c r="AY165" s="1" t="s">
        <v>316</v>
      </c>
      <c r="AZ165">
        <v>294</v>
      </c>
      <c r="BA165" s="1" t="s">
        <v>317</v>
      </c>
    </row>
    <row r="166" spans="1:53" x14ac:dyDescent="0.25">
      <c r="A166">
        <v>142</v>
      </c>
      <c r="B166" s="1" t="s">
        <v>194</v>
      </c>
      <c r="C166">
        <v>458</v>
      </c>
      <c r="D166">
        <v>1</v>
      </c>
      <c r="E166" t="b">
        <v>1</v>
      </c>
      <c r="F166" s="1" t="s">
        <v>304</v>
      </c>
      <c r="G166" s="1" t="s">
        <v>305</v>
      </c>
      <c r="H166">
        <v>458</v>
      </c>
      <c r="I166">
        <v>1</v>
      </c>
      <c r="J166">
        <v>0.23</v>
      </c>
      <c r="K166" s="1" t="s">
        <v>306</v>
      </c>
      <c r="L166">
        <v>458</v>
      </c>
      <c r="M166" s="1" t="s">
        <v>307</v>
      </c>
      <c r="N166">
        <v>1</v>
      </c>
      <c r="O166">
        <v>0.13</v>
      </c>
      <c r="P166" s="1" t="s">
        <v>306</v>
      </c>
      <c r="Q166">
        <v>458</v>
      </c>
      <c r="R166" s="1" t="s">
        <v>308</v>
      </c>
      <c r="S166">
        <v>1</v>
      </c>
      <c r="T166">
        <v>0.2</v>
      </c>
      <c r="U166" s="1" t="s">
        <v>306</v>
      </c>
      <c r="V166">
        <v>458</v>
      </c>
      <c r="W166" s="1" t="s">
        <v>309</v>
      </c>
      <c r="X166">
        <v>1</v>
      </c>
      <c r="Y166">
        <v>3.9E-2</v>
      </c>
      <c r="Z166" s="1" t="s">
        <v>306</v>
      </c>
      <c r="AA166">
        <v>458</v>
      </c>
      <c r="AB166" s="1" t="s">
        <v>310</v>
      </c>
      <c r="AC166">
        <v>1</v>
      </c>
      <c r="AD166">
        <v>13.2211</v>
      </c>
      <c r="AE166" s="1" t="s">
        <v>311</v>
      </c>
      <c r="AF166">
        <v>458</v>
      </c>
      <c r="AG166" s="1" t="s">
        <v>312</v>
      </c>
      <c r="AH166">
        <v>1</v>
      </c>
      <c r="AI166">
        <v>0.1</v>
      </c>
      <c r="AJ166" s="1" t="s">
        <v>306</v>
      </c>
      <c r="AK166">
        <v>458</v>
      </c>
      <c r="AL166" s="1" t="s">
        <v>313</v>
      </c>
      <c r="AM166">
        <v>1</v>
      </c>
      <c r="AN166">
        <v>0</v>
      </c>
      <c r="AO166" s="1" t="s">
        <v>306</v>
      </c>
      <c r="AP166">
        <v>458</v>
      </c>
      <c r="AQ166" s="1" t="s">
        <v>314</v>
      </c>
      <c r="AR166">
        <v>1</v>
      </c>
      <c r="AS166">
        <v>0.75</v>
      </c>
      <c r="AT166" s="1" t="s">
        <v>306</v>
      </c>
      <c r="AU166">
        <v>458</v>
      </c>
      <c r="AV166" s="1" t="s">
        <v>315</v>
      </c>
      <c r="AW166">
        <v>1</v>
      </c>
      <c r="AX166" t="b">
        <v>0</v>
      </c>
      <c r="AY166" s="1" t="s">
        <v>316</v>
      </c>
      <c r="AZ166">
        <v>458</v>
      </c>
      <c r="BA166" s="1" t="s">
        <v>317</v>
      </c>
    </row>
    <row r="167" spans="1:53" x14ac:dyDescent="0.25">
      <c r="A167">
        <v>174</v>
      </c>
      <c r="B167" s="1" t="s">
        <v>226</v>
      </c>
      <c r="C167">
        <v>558</v>
      </c>
      <c r="D167">
        <v>1</v>
      </c>
      <c r="E167" t="b">
        <v>1</v>
      </c>
      <c r="F167" s="1" t="s">
        <v>304</v>
      </c>
      <c r="G167" s="1" t="s">
        <v>305</v>
      </c>
      <c r="H167">
        <v>558</v>
      </c>
      <c r="I167">
        <v>1</v>
      </c>
      <c r="J167">
        <v>0.29399999999999998</v>
      </c>
      <c r="K167" s="1" t="s">
        <v>306</v>
      </c>
      <c r="L167">
        <v>558</v>
      </c>
      <c r="M167" s="1" t="s">
        <v>307</v>
      </c>
      <c r="N167">
        <v>1</v>
      </c>
      <c r="O167">
        <v>4.5999999999999999E-2</v>
      </c>
      <c r="P167" s="1" t="s">
        <v>306</v>
      </c>
      <c r="Q167">
        <v>558</v>
      </c>
      <c r="R167" s="1" t="s">
        <v>308</v>
      </c>
      <c r="S167">
        <v>1</v>
      </c>
      <c r="T167">
        <v>0.14000000000000001</v>
      </c>
      <c r="U167" s="1" t="s">
        <v>306</v>
      </c>
      <c r="V167">
        <v>558</v>
      </c>
      <c r="W167" s="1" t="s">
        <v>309</v>
      </c>
      <c r="X167">
        <v>1</v>
      </c>
      <c r="Y167">
        <v>4.2000000000000003E-2</v>
      </c>
      <c r="Z167" s="1" t="s">
        <v>306</v>
      </c>
      <c r="AA167">
        <v>558</v>
      </c>
      <c r="AB167" s="1" t="s">
        <v>310</v>
      </c>
      <c r="AC167">
        <v>1</v>
      </c>
      <c r="AD167">
        <v>11.527939999999999</v>
      </c>
      <c r="AE167" s="1" t="s">
        <v>311</v>
      </c>
      <c r="AF167">
        <v>558</v>
      </c>
      <c r="AG167" s="1" t="s">
        <v>312</v>
      </c>
      <c r="AH167">
        <v>1</v>
      </c>
      <c r="AI167">
        <v>8.8999999999999996E-2</v>
      </c>
      <c r="AJ167" s="1" t="s">
        <v>306</v>
      </c>
      <c r="AK167">
        <v>558</v>
      </c>
      <c r="AL167" s="1" t="s">
        <v>313</v>
      </c>
      <c r="AM167">
        <v>1</v>
      </c>
      <c r="AN167">
        <v>0</v>
      </c>
      <c r="AO167" s="1" t="s">
        <v>306</v>
      </c>
      <c r="AP167">
        <v>558</v>
      </c>
      <c r="AQ167" s="1" t="s">
        <v>314</v>
      </c>
      <c r="AR167">
        <v>1</v>
      </c>
      <c r="AS167">
        <v>0.65500000000000003</v>
      </c>
      <c r="AT167" s="1" t="s">
        <v>306</v>
      </c>
      <c r="AU167">
        <v>558</v>
      </c>
      <c r="AV167" s="1" t="s">
        <v>315</v>
      </c>
      <c r="AW167">
        <v>1</v>
      </c>
      <c r="AX167" t="b">
        <v>0</v>
      </c>
      <c r="AY167" s="1" t="s">
        <v>316</v>
      </c>
      <c r="AZ167">
        <v>558</v>
      </c>
      <c r="BA167" s="1" t="s">
        <v>317</v>
      </c>
    </row>
    <row r="168" spans="1:53" x14ac:dyDescent="0.25">
      <c r="A168">
        <v>252</v>
      </c>
      <c r="B168" s="1" t="s">
        <v>303</v>
      </c>
      <c r="C168">
        <v>913</v>
      </c>
      <c r="D168">
        <v>3</v>
      </c>
      <c r="E168" t="b">
        <v>0</v>
      </c>
      <c r="F168" s="1" t="s">
        <v>304</v>
      </c>
      <c r="G168" s="1" t="s">
        <v>305</v>
      </c>
      <c r="H168">
        <v>913</v>
      </c>
      <c r="I168">
        <v>1</v>
      </c>
      <c r="J168">
        <v>0</v>
      </c>
      <c r="K168" s="1" t="s">
        <v>306</v>
      </c>
      <c r="L168">
        <v>913</v>
      </c>
      <c r="M168" s="1" t="s">
        <v>307</v>
      </c>
      <c r="N168">
        <v>1</v>
      </c>
      <c r="O168">
        <v>0</v>
      </c>
      <c r="P168" s="1" t="s">
        <v>306</v>
      </c>
      <c r="Q168">
        <v>913</v>
      </c>
      <c r="R168" s="1" t="s">
        <v>308</v>
      </c>
      <c r="S168">
        <v>1</v>
      </c>
      <c r="T168">
        <v>0</v>
      </c>
      <c r="U168" s="1" t="s">
        <v>306</v>
      </c>
      <c r="V168">
        <v>913</v>
      </c>
      <c r="W168" s="1" t="s">
        <v>309</v>
      </c>
      <c r="X168">
        <v>1</v>
      </c>
      <c r="Y168">
        <v>0</v>
      </c>
      <c r="Z168" s="1" t="s">
        <v>306</v>
      </c>
      <c r="AA168">
        <v>913</v>
      </c>
      <c r="AB168" s="1" t="s">
        <v>310</v>
      </c>
      <c r="AC168">
        <v>1</v>
      </c>
      <c r="AD168">
        <v>0</v>
      </c>
      <c r="AE168" s="1" t="s">
        <v>311</v>
      </c>
      <c r="AF168">
        <v>913</v>
      </c>
      <c r="AG168" s="1" t="s">
        <v>312</v>
      </c>
      <c r="AH168">
        <v>1</v>
      </c>
      <c r="AI168">
        <v>1</v>
      </c>
      <c r="AJ168" s="1" t="s">
        <v>306</v>
      </c>
      <c r="AK168">
        <v>913</v>
      </c>
      <c r="AL168" s="1" t="s">
        <v>313</v>
      </c>
      <c r="AM168">
        <v>1</v>
      </c>
      <c r="AN168">
        <v>72.900000000000006</v>
      </c>
      <c r="AO168" s="1" t="s">
        <v>306</v>
      </c>
      <c r="AP168">
        <v>913</v>
      </c>
      <c r="AQ168" s="1" t="s">
        <v>314</v>
      </c>
      <c r="AR168">
        <v>1</v>
      </c>
      <c r="AS168">
        <v>0</v>
      </c>
      <c r="AT168" s="1" t="s">
        <v>306</v>
      </c>
      <c r="AU168">
        <v>913</v>
      </c>
      <c r="AV168" s="1" t="s">
        <v>315</v>
      </c>
      <c r="AW168">
        <v>1</v>
      </c>
      <c r="AX168" t="b">
        <v>0</v>
      </c>
      <c r="AY168" s="1" t="s">
        <v>316</v>
      </c>
      <c r="AZ168">
        <v>913</v>
      </c>
      <c r="BA168" s="1" t="s">
        <v>317</v>
      </c>
    </row>
    <row r="169" spans="1:53" x14ac:dyDescent="0.25">
      <c r="A169">
        <v>71</v>
      </c>
      <c r="B169" s="1" t="s">
        <v>123</v>
      </c>
      <c r="C169">
        <v>273</v>
      </c>
      <c r="D169">
        <v>14.13433</v>
      </c>
      <c r="E169" t="b">
        <v>1</v>
      </c>
      <c r="F169" s="1">
        <v>273</v>
      </c>
      <c r="G169" s="1" t="s">
        <v>305</v>
      </c>
      <c r="H169">
        <v>273</v>
      </c>
      <c r="I169">
        <v>1</v>
      </c>
      <c r="J169">
        <v>0.18099999999999999</v>
      </c>
      <c r="K169" s="1" t="s">
        <v>306</v>
      </c>
      <c r="L169">
        <v>273</v>
      </c>
      <c r="M169" s="1" t="s">
        <v>307</v>
      </c>
      <c r="N169">
        <v>1</v>
      </c>
      <c r="O169">
        <v>0.29699999999999999</v>
      </c>
      <c r="P169" s="1" t="s">
        <v>306</v>
      </c>
      <c r="Q169">
        <v>273</v>
      </c>
      <c r="R169" s="1" t="s">
        <v>308</v>
      </c>
      <c r="S169">
        <v>1</v>
      </c>
      <c r="T169">
        <v>8.5000000000000006E-2</v>
      </c>
      <c r="U169" s="1" t="s">
        <v>306</v>
      </c>
      <c r="V169">
        <v>273</v>
      </c>
      <c r="W169" s="1" t="s">
        <v>309</v>
      </c>
      <c r="X169">
        <v>1</v>
      </c>
      <c r="Y169">
        <v>5.0000000000000001E-3</v>
      </c>
      <c r="Z169" s="1" t="s">
        <v>306</v>
      </c>
      <c r="AA169">
        <v>273</v>
      </c>
      <c r="AB169" s="1" t="s">
        <v>310</v>
      </c>
      <c r="AC169">
        <v>1</v>
      </c>
      <c r="AD169">
        <v>14.13433</v>
      </c>
      <c r="AE169" s="1" t="s">
        <v>311</v>
      </c>
      <c r="AF169">
        <v>273</v>
      </c>
      <c r="AG169" s="1" t="s">
        <v>312</v>
      </c>
      <c r="AH169">
        <v>1</v>
      </c>
      <c r="AI169">
        <v>5.6000000000000001E-2</v>
      </c>
      <c r="AJ169" s="1" t="s">
        <v>306</v>
      </c>
      <c r="AK169">
        <v>273</v>
      </c>
      <c r="AL169" s="1" t="s">
        <v>313</v>
      </c>
      <c r="AM169">
        <v>1</v>
      </c>
      <c r="AN169">
        <v>0</v>
      </c>
      <c r="AO169" s="1" t="s">
        <v>306</v>
      </c>
      <c r="AP169">
        <v>273</v>
      </c>
      <c r="AQ169" s="1" t="s">
        <v>314</v>
      </c>
      <c r="AR169">
        <v>1</v>
      </c>
      <c r="AS169">
        <v>0.85</v>
      </c>
      <c r="AT169" s="1" t="s">
        <v>306</v>
      </c>
      <c r="AU169">
        <v>273</v>
      </c>
      <c r="AV169" s="1" t="s">
        <v>315</v>
      </c>
      <c r="AW169">
        <v>1</v>
      </c>
      <c r="AX169" t="b">
        <v>0</v>
      </c>
      <c r="AY169" s="1" t="s">
        <v>316</v>
      </c>
      <c r="AZ169">
        <v>273</v>
      </c>
      <c r="BA169" s="1" t="s">
        <v>317</v>
      </c>
    </row>
    <row r="170" spans="1:53" x14ac:dyDescent="0.25">
      <c r="A170">
        <v>124</v>
      </c>
      <c r="B170" s="1" t="s">
        <v>176</v>
      </c>
      <c r="C170">
        <v>395</v>
      </c>
      <c r="D170">
        <v>1</v>
      </c>
      <c r="E170" t="b">
        <v>1</v>
      </c>
      <c r="F170" s="1" t="s">
        <v>304</v>
      </c>
      <c r="G170" s="1" t="s">
        <v>305</v>
      </c>
      <c r="H170">
        <v>395</v>
      </c>
      <c r="I170">
        <v>1</v>
      </c>
      <c r="J170">
        <v>2.4E-2</v>
      </c>
      <c r="K170" s="1" t="s">
        <v>306</v>
      </c>
      <c r="L170">
        <v>395</v>
      </c>
      <c r="M170" s="1" t="s">
        <v>307</v>
      </c>
      <c r="N170">
        <v>1</v>
      </c>
      <c r="O170">
        <v>0.74</v>
      </c>
      <c r="P170" s="1" t="s">
        <v>306</v>
      </c>
      <c r="Q170">
        <v>395</v>
      </c>
      <c r="R170" s="1" t="s">
        <v>308</v>
      </c>
      <c r="S170">
        <v>1</v>
      </c>
      <c r="T170">
        <v>9.1999999999999998E-2</v>
      </c>
      <c r="U170" s="1" t="s">
        <v>306</v>
      </c>
      <c r="V170">
        <v>395</v>
      </c>
      <c r="W170" s="1" t="s">
        <v>309</v>
      </c>
      <c r="X170">
        <v>1</v>
      </c>
      <c r="Y170">
        <v>0</v>
      </c>
      <c r="Z170" s="1" t="s">
        <v>306</v>
      </c>
      <c r="AA170">
        <v>395</v>
      </c>
      <c r="AB170" s="1" t="s">
        <v>310</v>
      </c>
      <c r="AC170">
        <v>1</v>
      </c>
      <c r="AD170">
        <v>14.00812</v>
      </c>
      <c r="AE170" s="1" t="s">
        <v>311</v>
      </c>
      <c r="AF170">
        <v>395</v>
      </c>
      <c r="AG170" s="1" t="s">
        <v>312</v>
      </c>
      <c r="AH170">
        <v>1</v>
      </c>
      <c r="AI170">
        <v>5.0999999999999997E-2</v>
      </c>
      <c r="AJ170" s="1" t="s">
        <v>306</v>
      </c>
      <c r="AK170">
        <v>395</v>
      </c>
      <c r="AL170" s="1" t="s">
        <v>313</v>
      </c>
      <c r="AM170">
        <v>1</v>
      </c>
      <c r="AN170">
        <v>0</v>
      </c>
      <c r="AO170" s="1" t="s">
        <v>306</v>
      </c>
      <c r="AP170">
        <v>395</v>
      </c>
      <c r="AQ170" s="1" t="s">
        <v>314</v>
      </c>
      <c r="AR170">
        <v>1</v>
      </c>
      <c r="AS170">
        <v>0.84</v>
      </c>
      <c r="AT170" s="1" t="s">
        <v>306</v>
      </c>
      <c r="AU170">
        <v>395</v>
      </c>
      <c r="AV170" s="1" t="s">
        <v>315</v>
      </c>
      <c r="AW170">
        <v>1</v>
      </c>
      <c r="AX170" t="b">
        <v>0</v>
      </c>
      <c r="AY170" s="1" t="s">
        <v>316</v>
      </c>
      <c r="AZ170">
        <v>395</v>
      </c>
      <c r="BA170" s="1" t="s">
        <v>317</v>
      </c>
    </row>
    <row r="171" spans="1:53" x14ac:dyDescent="0.25">
      <c r="A171">
        <v>80</v>
      </c>
      <c r="B171" s="1" t="s">
        <v>132</v>
      </c>
      <c r="C171">
        <v>288</v>
      </c>
      <c r="D171">
        <v>12.40795</v>
      </c>
      <c r="E171" t="b">
        <v>0</v>
      </c>
      <c r="F171" s="1">
        <v>288</v>
      </c>
      <c r="G171" s="1" t="s">
        <v>305</v>
      </c>
      <c r="H171">
        <v>288</v>
      </c>
      <c r="I171">
        <v>1</v>
      </c>
      <c r="J171">
        <v>0</v>
      </c>
      <c r="K171" s="1" t="s">
        <v>306</v>
      </c>
      <c r="L171">
        <v>288</v>
      </c>
      <c r="M171" s="1" t="s">
        <v>307</v>
      </c>
      <c r="N171">
        <v>1</v>
      </c>
      <c r="O171">
        <v>0.371</v>
      </c>
      <c r="P171" s="1" t="s">
        <v>306</v>
      </c>
      <c r="Q171">
        <v>288</v>
      </c>
      <c r="R171" s="1" t="s">
        <v>308</v>
      </c>
      <c r="S171">
        <v>1</v>
      </c>
      <c r="T171">
        <v>0.16800000000000001</v>
      </c>
      <c r="U171" s="1" t="s">
        <v>306</v>
      </c>
      <c r="V171">
        <v>288</v>
      </c>
      <c r="W171" s="1" t="s">
        <v>309</v>
      </c>
      <c r="X171">
        <v>1</v>
      </c>
      <c r="Y171">
        <v>0</v>
      </c>
      <c r="Z171" s="1" t="s">
        <v>306</v>
      </c>
      <c r="AA171">
        <v>288</v>
      </c>
      <c r="AB171" s="1" t="s">
        <v>310</v>
      </c>
      <c r="AC171">
        <v>1</v>
      </c>
      <c r="AD171">
        <v>12.40795</v>
      </c>
      <c r="AE171" s="1" t="s">
        <v>311</v>
      </c>
      <c r="AF171">
        <v>288</v>
      </c>
      <c r="AG171" s="1" t="s">
        <v>312</v>
      </c>
      <c r="AH171">
        <v>1</v>
      </c>
      <c r="AI171">
        <v>0.185</v>
      </c>
      <c r="AJ171" s="1" t="s">
        <v>306</v>
      </c>
      <c r="AK171">
        <v>288</v>
      </c>
      <c r="AL171" s="1" t="s">
        <v>313</v>
      </c>
      <c r="AM171">
        <v>1</v>
      </c>
      <c r="AN171">
        <v>0</v>
      </c>
      <c r="AO171" s="1" t="s">
        <v>306</v>
      </c>
      <c r="AP171">
        <v>288</v>
      </c>
      <c r="AQ171" s="1" t="s">
        <v>314</v>
      </c>
      <c r="AR171">
        <v>1</v>
      </c>
      <c r="AS171">
        <v>0.85</v>
      </c>
      <c r="AT171" s="1" t="s">
        <v>306</v>
      </c>
      <c r="AU171">
        <v>288</v>
      </c>
      <c r="AV171" s="1" t="s">
        <v>315</v>
      </c>
      <c r="AW171">
        <v>1</v>
      </c>
      <c r="AX171" t="b">
        <v>0</v>
      </c>
      <c r="AY171" s="1" t="s">
        <v>316</v>
      </c>
      <c r="AZ171">
        <v>288</v>
      </c>
      <c r="BA171" s="1" t="s">
        <v>317</v>
      </c>
    </row>
    <row r="172" spans="1:53" x14ac:dyDescent="0.25">
      <c r="A172">
        <v>38</v>
      </c>
      <c r="B172" s="1" t="s">
        <v>90</v>
      </c>
      <c r="C172">
        <v>213</v>
      </c>
      <c r="D172">
        <v>22.838730000000002</v>
      </c>
      <c r="E172" t="b">
        <v>1</v>
      </c>
      <c r="F172" s="1">
        <v>213</v>
      </c>
      <c r="G172" s="1" t="s">
        <v>305</v>
      </c>
      <c r="H172">
        <v>213</v>
      </c>
      <c r="I172">
        <v>1</v>
      </c>
      <c r="J172">
        <v>9.0999999999999998E-2</v>
      </c>
      <c r="K172" s="1" t="s">
        <v>306</v>
      </c>
      <c r="L172">
        <v>213</v>
      </c>
      <c r="M172" s="1" t="s">
        <v>307</v>
      </c>
      <c r="N172">
        <v>1</v>
      </c>
      <c r="O172">
        <v>7.4999999999999997E-2</v>
      </c>
      <c r="P172" s="1" t="s">
        <v>306</v>
      </c>
      <c r="Q172">
        <v>213</v>
      </c>
      <c r="R172" s="1" t="s">
        <v>308</v>
      </c>
      <c r="S172">
        <v>1</v>
      </c>
      <c r="T172">
        <v>0.216</v>
      </c>
      <c r="U172" s="1" t="s">
        <v>306</v>
      </c>
      <c r="V172">
        <v>213</v>
      </c>
      <c r="W172" s="1" t="s">
        <v>309</v>
      </c>
      <c r="X172">
        <v>1</v>
      </c>
      <c r="Y172">
        <v>0.48</v>
      </c>
      <c r="Z172" s="1" t="s">
        <v>306</v>
      </c>
      <c r="AA172">
        <v>213</v>
      </c>
      <c r="AB172" s="1" t="s">
        <v>310</v>
      </c>
      <c r="AC172">
        <v>1</v>
      </c>
      <c r="AD172">
        <v>22.838730000000002</v>
      </c>
      <c r="AE172" s="1" t="s">
        <v>311</v>
      </c>
      <c r="AF172">
        <v>213</v>
      </c>
      <c r="AG172" s="1" t="s">
        <v>312</v>
      </c>
      <c r="AH172">
        <v>1</v>
      </c>
      <c r="AI172">
        <v>4.2999999999999997E-2</v>
      </c>
      <c r="AJ172" s="1" t="s">
        <v>306</v>
      </c>
      <c r="AK172">
        <v>213</v>
      </c>
      <c r="AL172" s="1" t="s">
        <v>313</v>
      </c>
      <c r="AM172">
        <v>1</v>
      </c>
      <c r="AN172">
        <v>0</v>
      </c>
      <c r="AO172" s="1" t="s">
        <v>306</v>
      </c>
      <c r="AP172">
        <v>213</v>
      </c>
      <c r="AQ172" s="1" t="s">
        <v>314</v>
      </c>
      <c r="AR172">
        <v>1</v>
      </c>
      <c r="AS172">
        <v>0.85</v>
      </c>
      <c r="AT172" s="1" t="s">
        <v>306</v>
      </c>
      <c r="AU172">
        <v>213</v>
      </c>
      <c r="AV172" s="1" t="s">
        <v>315</v>
      </c>
      <c r="AW172">
        <v>1</v>
      </c>
      <c r="AX172" t="b">
        <v>0</v>
      </c>
      <c r="AY172" s="1" t="s">
        <v>316</v>
      </c>
      <c r="AZ172">
        <v>213</v>
      </c>
      <c r="BA172" s="1" t="s">
        <v>317</v>
      </c>
    </row>
    <row r="173" spans="1:53" x14ac:dyDescent="0.25">
      <c r="A173">
        <v>13</v>
      </c>
      <c r="B173" s="1" t="s">
        <v>65</v>
      </c>
      <c r="C173">
        <v>144</v>
      </c>
      <c r="D173">
        <v>16.27337</v>
      </c>
      <c r="E173" t="b">
        <v>0</v>
      </c>
      <c r="F173" s="1">
        <v>144</v>
      </c>
      <c r="G173" s="1" t="s">
        <v>305</v>
      </c>
      <c r="H173">
        <v>144</v>
      </c>
      <c r="I173">
        <v>1</v>
      </c>
      <c r="J173">
        <v>0.13483139999999999</v>
      </c>
      <c r="K173" s="1" t="s">
        <v>306</v>
      </c>
      <c r="L173">
        <v>144</v>
      </c>
      <c r="M173" s="1" t="s">
        <v>307</v>
      </c>
      <c r="N173">
        <v>1</v>
      </c>
      <c r="O173">
        <v>0.126</v>
      </c>
      <c r="P173" s="1" t="s">
        <v>306</v>
      </c>
      <c r="Q173">
        <v>144</v>
      </c>
      <c r="R173" s="1" t="s">
        <v>308</v>
      </c>
      <c r="S173">
        <v>1</v>
      </c>
      <c r="T173">
        <v>0.34831459999999997</v>
      </c>
      <c r="U173" s="1" t="s">
        <v>306</v>
      </c>
      <c r="V173">
        <v>144</v>
      </c>
      <c r="W173" s="1" t="s">
        <v>309</v>
      </c>
      <c r="X173">
        <v>1</v>
      </c>
      <c r="Y173">
        <v>0.1123595</v>
      </c>
      <c r="Z173" s="1" t="s">
        <v>306</v>
      </c>
      <c r="AA173">
        <v>144</v>
      </c>
      <c r="AB173" s="1" t="s">
        <v>310</v>
      </c>
      <c r="AC173">
        <v>1</v>
      </c>
      <c r="AD173">
        <v>16.27337</v>
      </c>
      <c r="AE173" s="1" t="s">
        <v>311</v>
      </c>
      <c r="AF173">
        <v>144</v>
      </c>
      <c r="AG173" s="1" t="s">
        <v>312</v>
      </c>
      <c r="AH173">
        <v>1</v>
      </c>
      <c r="AI173">
        <v>7.3034000000000002E-2</v>
      </c>
      <c r="AJ173" s="1" t="s">
        <v>306</v>
      </c>
      <c r="AK173">
        <v>144</v>
      </c>
      <c r="AL173" s="1" t="s">
        <v>313</v>
      </c>
      <c r="AM173">
        <v>1</v>
      </c>
      <c r="AN173">
        <v>0</v>
      </c>
      <c r="AO173" s="1" t="s">
        <v>306</v>
      </c>
      <c r="AP173">
        <v>144</v>
      </c>
      <c r="AQ173" s="1" t="s">
        <v>314</v>
      </c>
      <c r="AR173">
        <v>1</v>
      </c>
      <c r="AS173">
        <v>0.78500000000000003</v>
      </c>
      <c r="AT173" s="1" t="s">
        <v>306</v>
      </c>
      <c r="AU173">
        <v>144</v>
      </c>
      <c r="AV173" s="1" t="s">
        <v>315</v>
      </c>
      <c r="AW173">
        <v>1</v>
      </c>
      <c r="AX173" t="b">
        <v>0</v>
      </c>
      <c r="AY173" s="1" t="s">
        <v>316</v>
      </c>
      <c r="AZ173">
        <v>144</v>
      </c>
      <c r="BA173" s="1" t="s">
        <v>317</v>
      </c>
    </row>
    <row r="174" spans="1:53" x14ac:dyDescent="0.25">
      <c r="A174">
        <v>14</v>
      </c>
      <c r="B174" s="1" t="s">
        <v>66</v>
      </c>
      <c r="C174">
        <v>145</v>
      </c>
      <c r="D174">
        <v>16.27337</v>
      </c>
      <c r="E174" t="b">
        <v>0</v>
      </c>
      <c r="F174" s="1">
        <v>145</v>
      </c>
      <c r="G174" s="1" t="s">
        <v>305</v>
      </c>
      <c r="H174">
        <v>145</v>
      </c>
      <c r="I174">
        <v>1</v>
      </c>
      <c r="J174">
        <v>0.13483139999999999</v>
      </c>
      <c r="K174" s="1" t="s">
        <v>306</v>
      </c>
      <c r="L174">
        <v>145</v>
      </c>
      <c r="M174" s="1" t="s">
        <v>307</v>
      </c>
      <c r="N174">
        <v>1</v>
      </c>
      <c r="O174">
        <v>0.126</v>
      </c>
      <c r="P174" s="1" t="s">
        <v>306</v>
      </c>
      <c r="Q174">
        <v>145</v>
      </c>
      <c r="R174" s="1" t="s">
        <v>308</v>
      </c>
      <c r="S174">
        <v>1</v>
      </c>
      <c r="T174">
        <v>0.34831459999999997</v>
      </c>
      <c r="U174" s="1" t="s">
        <v>306</v>
      </c>
      <c r="V174">
        <v>145</v>
      </c>
      <c r="W174" s="1" t="s">
        <v>309</v>
      </c>
      <c r="X174">
        <v>1</v>
      </c>
      <c r="Y174">
        <v>0.1123595</v>
      </c>
      <c r="Z174" s="1" t="s">
        <v>306</v>
      </c>
      <c r="AA174">
        <v>145</v>
      </c>
      <c r="AB174" s="1" t="s">
        <v>310</v>
      </c>
      <c r="AC174">
        <v>1</v>
      </c>
      <c r="AD174">
        <v>16.27337</v>
      </c>
      <c r="AE174" s="1" t="s">
        <v>311</v>
      </c>
      <c r="AF174">
        <v>145</v>
      </c>
      <c r="AG174" s="1" t="s">
        <v>312</v>
      </c>
      <c r="AH174">
        <v>1</v>
      </c>
      <c r="AI174">
        <v>7.3034000000000002E-2</v>
      </c>
      <c r="AJ174" s="1" t="s">
        <v>306</v>
      </c>
      <c r="AK174">
        <v>145</v>
      </c>
      <c r="AL174" s="1" t="s">
        <v>313</v>
      </c>
      <c r="AM174">
        <v>1</v>
      </c>
      <c r="AN174">
        <v>0</v>
      </c>
      <c r="AO174" s="1" t="s">
        <v>306</v>
      </c>
      <c r="AP174">
        <v>145</v>
      </c>
      <c r="AQ174" s="1" t="s">
        <v>314</v>
      </c>
      <c r="AR174">
        <v>1</v>
      </c>
      <c r="AS174">
        <v>0.78500000000000003</v>
      </c>
      <c r="AT174" s="1" t="s">
        <v>306</v>
      </c>
      <c r="AU174">
        <v>145</v>
      </c>
      <c r="AV174" s="1" t="s">
        <v>315</v>
      </c>
      <c r="AW174">
        <v>1</v>
      </c>
      <c r="AX174" t="b">
        <v>0</v>
      </c>
      <c r="AY174" s="1" t="s">
        <v>316</v>
      </c>
      <c r="AZ174">
        <v>145</v>
      </c>
      <c r="BA174" s="1" t="s">
        <v>317</v>
      </c>
    </row>
    <row r="175" spans="1:53" x14ac:dyDescent="0.25">
      <c r="A175">
        <v>15</v>
      </c>
      <c r="B175" s="1" t="s">
        <v>67</v>
      </c>
      <c r="C175">
        <v>146</v>
      </c>
      <c r="D175">
        <v>16.807700000000001</v>
      </c>
      <c r="E175" t="b">
        <v>0</v>
      </c>
      <c r="F175" s="1">
        <v>146</v>
      </c>
      <c r="G175" s="1" t="s">
        <v>305</v>
      </c>
      <c r="H175">
        <v>146</v>
      </c>
      <c r="I175">
        <v>1</v>
      </c>
      <c r="J175">
        <v>0.13033700000000001</v>
      </c>
      <c r="K175" s="1" t="s">
        <v>306</v>
      </c>
      <c r="L175">
        <v>146</v>
      </c>
      <c r="M175" s="1" t="s">
        <v>307</v>
      </c>
      <c r="N175">
        <v>1</v>
      </c>
      <c r="O175">
        <v>0.126</v>
      </c>
      <c r="P175" s="1" t="s">
        <v>306</v>
      </c>
      <c r="Q175">
        <v>146</v>
      </c>
      <c r="R175" s="1" t="s">
        <v>308</v>
      </c>
      <c r="S175">
        <v>1</v>
      </c>
      <c r="T175">
        <v>0.33707860000000001</v>
      </c>
      <c r="U175" s="1" t="s">
        <v>306</v>
      </c>
      <c r="V175">
        <v>146</v>
      </c>
      <c r="W175" s="1" t="s">
        <v>309</v>
      </c>
      <c r="X175">
        <v>1</v>
      </c>
      <c r="Y175">
        <v>0.14606739999999999</v>
      </c>
      <c r="Z175" s="1" t="s">
        <v>306</v>
      </c>
      <c r="AA175">
        <v>146</v>
      </c>
      <c r="AB175" s="1" t="s">
        <v>310</v>
      </c>
      <c r="AC175">
        <v>1</v>
      </c>
      <c r="AD175">
        <v>16.807700000000001</v>
      </c>
      <c r="AE175" s="1" t="s">
        <v>311</v>
      </c>
      <c r="AF175">
        <v>146</v>
      </c>
      <c r="AG175" s="1" t="s">
        <v>312</v>
      </c>
      <c r="AH175">
        <v>1</v>
      </c>
      <c r="AI175">
        <v>7.0787000000000003E-2</v>
      </c>
      <c r="AJ175" s="1" t="s">
        <v>306</v>
      </c>
      <c r="AK175">
        <v>146</v>
      </c>
      <c r="AL175" s="1" t="s">
        <v>313</v>
      </c>
      <c r="AM175">
        <v>1</v>
      </c>
      <c r="AN175">
        <v>0</v>
      </c>
      <c r="AO175" s="1" t="s">
        <v>306</v>
      </c>
      <c r="AP175">
        <v>146</v>
      </c>
      <c r="AQ175" s="1" t="s">
        <v>314</v>
      </c>
      <c r="AR175">
        <v>1</v>
      </c>
      <c r="AS175">
        <v>0.78700000000000003</v>
      </c>
      <c r="AT175" s="1" t="s">
        <v>306</v>
      </c>
      <c r="AU175">
        <v>146</v>
      </c>
      <c r="AV175" s="1" t="s">
        <v>315</v>
      </c>
      <c r="AW175">
        <v>1</v>
      </c>
      <c r="AX175" t="b">
        <v>0</v>
      </c>
      <c r="AY175" s="1" t="s">
        <v>316</v>
      </c>
      <c r="AZ175">
        <v>146</v>
      </c>
      <c r="BA175" s="1" t="s">
        <v>317</v>
      </c>
    </row>
    <row r="176" spans="1:53" x14ac:dyDescent="0.25">
      <c r="A176">
        <v>16</v>
      </c>
      <c r="B176" s="1" t="s">
        <v>68</v>
      </c>
      <c r="C176">
        <v>147</v>
      </c>
      <c r="D176">
        <v>16.807700000000001</v>
      </c>
      <c r="E176" t="b">
        <v>0</v>
      </c>
      <c r="F176" s="1">
        <v>147</v>
      </c>
      <c r="G176" s="1" t="s">
        <v>305</v>
      </c>
      <c r="H176">
        <v>147</v>
      </c>
      <c r="I176">
        <v>1</v>
      </c>
      <c r="J176">
        <v>0.13033700000000001</v>
      </c>
      <c r="K176" s="1" t="s">
        <v>306</v>
      </c>
      <c r="L176">
        <v>147</v>
      </c>
      <c r="M176" s="1" t="s">
        <v>307</v>
      </c>
      <c r="N176">
        <v>1</v>
      </c>
      <c r="O176">
        <v>0.126</v>
      </c>
      <c r="P176" s="1" t="s">
        <v>306</v>
      </c>
      <c r="Q176">
        <v>147</v>
      </c>
      <c r="R176" s="1" t="s">
        <v>308</v>
      </c>
      <c r="S176">
        <v>1</v>
      </c>
      <c r="T176">
        <v>0.33707860000000001</v>
      </c>
      <c r="U176" s="1" t="s">
        <v>306</v>
      </c>
      <c r="V176">
        <v>147</v>
      </c>
      <c r="W176" s="1" t="s">
        <v>309</v>
      </c>
      <c r="X176">
        <v>1</v>
      </c>
      <c r="Y176">
        <v>0.14606739999999999</v>
      </c>
      <c r="Z176" s="1" t="s">
        <v>306</v>
      </c>
      <c r="AA176">
        <v>147</v>
      </c>
      <c r="AB176" s="1" t="s">
        <v>310</v>
      </c>
      <c r="AC176">
        <v>1</v>
      </c>
      <c r="AD176">
        <v>16.807700000000001</v>
      </c>
      <c r="AE176" s="1" t="s">
        <v>311</v>
      </c>
      <c r="AF176">
        <v>147</v>
      </c>
      <c r="AG176" s="1" t="s">
        <v>312</v>
      </c>
      <c r="AH176">
        <v>1</v>
      </c>
      <c r="AI176">
        <v>7.0787000000000003E-2</v>
      </c>
      <c r="AJ176" s="1" t="s">
        <v>306</v>
      </c>
      <c r="AK176">
        <v>147</v>
      </c>
      <c r="AL176" s="1" t="s">
        <v>313</v>
      </c>
      <c r="AM176">
        <v>1</v>
      </c>
      <c r="AN176">
        <v>0</v>
      </c>
      <c r="AO176" s="1" t="s">
        <v>306</v>
      </c>
      <c r="AP176">
        <v>147</v>
      </c>
      <c r="AQ176" s="1" t="s">
        <v>314</v>
      </c>
      <c r="AR176">
        <v>1</v>
      </c>
      <c r="AS176">
        <v>0.78700000000000003</v>
      </c>
      <c r="AT176" s="1" t="s">
        <v>306</v>
      </c>
      <c r="AU176">
        <v>147</v>
      </c>
      <c r="AV176" s="1" t="s">
        <v>315</v>
      </c>
      <c r="AW176">
        <v>1</v>
      </c>
      <c r="AX176" t="b">
        <v>0</v>
      </c>
      <c r="AY176" s="1" t="s">
        <v>316</v>
      </c>
      <c r="AZ176">
        <v>147</v>
      </c>
      <c r="BA176" s="1" t="s">
        <v>317</v>
      </c>
    </row>
    <row r="177" spans="1:53" x14ac:dyDescent="0.25">
      <c r="A177">
        <v>12</v>
      </c>
      <c r="B177" s="1" t="s">
        <v>64</v>
      </c>
      <c r="C177">
        <v>142</v>
      </c>
      <c r="D177">
        <v>15.31387</v>
      </c>
      <c r="E177" t="b">
        <v>0</v>
      </c>
      <c r="F177" s="1">
        <v>142</v>
      </c>
      <c r="G177" s="1" t="s">
        <v>305</v>
      </c>
      <c r="H177">
        <v>142</v>
      </c>
      <c r="I177">
        <v>1</v>
      </c>
      <c r="J177">
        <v>0.14857139999999999</v>
      </c>
      <c r="K177" s="1" t="s">
        <v>306</v>
      </c>
      <c r="L177">
        <v>142</v>
      </c>
      <c r="M177" s="1" t="s">
        <v>307</v>
      </c>
      <c r="N177">
        <v>1</v>
      </c>
      <c r="O177">
        <v>0.161</v>
      </c>
      <c r="P177" s="1" t="s">
        <v>306</v>
      </c>
      <c r="Q177">
        <v>142</v>
      </c>
      <c r="R177" s="1" t="s">
        <v>308</v>
      </c>
      <c r="S177">
        <v>1</v>
      </c>
      <c r="T177">
        <v>0.38857140000000001</v>
      </c>
      <c r="U177" s="1" t="s">
        <v>306</v>
      </c>
      <c r="V177">
        <v>142</v>
      </c>
      <c r="W177" s="1" t="s">
        <v>309</v>
      </c>
      <c r="X177">
        <v>1</v>
      </c>
      <c r="Y177">
        <v>4.5714280000000003E-2</v>
      </c>
      <c r="Z177" s="1" t="s">
        <v>306</v>
      </c>
      <c r="AA177">
        <v>142</v>
      </c>
      <c r="AB177" s="1" t="s">
        <v>310</v>
      </c>
      <c r="AC177">
        <v>1</v>
      </c>
      <c r="AD177">
        <v>15.31387</v>
      </c>
      <c r="AE177" s="1" t="s">
        <v>311</v>
      </c>
      <c r="AF177">
        <v>142</v>
      </c>
      <c r="AG177" s="1" t="s">
        <v>312</v>
      </c>
      <c r="AH177">
        <v>1</v>
      </c>
      <c r="AI177">
        <v>7.7714000000000005E-2</v>
      </c>
      <c r="AJ177" s="1" t="s">
        <v>306</v>
      </c>
      <c r="AK177">
        <v>142</v>
      </c>
      <c r="AL177" s="1" t="s">
        <v>313</v>
      </c>
      <c r="AM177">
        <v>1</v>
      </c>
      <c r="AN177">
        <v>0</v>
      </c>
      <c r="AO177" s="1" t="s">
        <v>306</v>
      </c>
      <c r="AP177">
        <v>142</v>
      </c>
      <c r="AQ177" s="1" t="s">
        <v>314</v>
      </c>
      <c r="AR177">
        <v>1</v>
      </c>
      <c r="AS177">
        <v>0.78</v>
      </c>
      <c r="AT177" s="1" t="s">
        <v>306</v>
      </c>
      <c r="AU177">
        <v>142</v>
      </c>
      <c r="AV177" s="1" t="s">
        <v>315</v>
      </c>
      <c r="AW177">
        <v>1</v>
      </c>
      <c r="AX177" t="b">
        <v>0</v>
      </c>
      <c r="AY177" s="1" t="s">
        <v>316</v>
      </c>
      <c r="AZ177">
        <v>142</v>
      </c>
      <c r="BA177" s="1" t="s">
        <v>317</v>
      </c>
    </row>
    <row r="178" spans="1:53" x14ac:dyDescent="0.25">
      <c r="A178">
        <v>148</v>
      </c>
      <c r="B178" s="1" t="s">
        <v>200</v>
      </c>
      <c r="C178">
        <v>473</v>
      </c>
      <c r="D178">
        <v>1</v>
      </c>
      <c r="E178" t="b">
        <v>0</v>
      </c>
      <c r="F178" s="1" t="s">
        <v>304</v>
      </c>
      <c r="G178" s="1" t="s">
        <v>305</v>
      </c>
      <c r="H178">
        <v>473</v>
      </c>
      <c r="I178">
        <v>1</v>
      </c>
      <c r="J178">
        <v>0.25</v>
      </c>
      <c r="K178" s="1" t="s">
        <v>306</v>
      </c>
      <c r="L178">
        <v>473</v>
      </c>
      <c r="M178" s="1" t="s">
        <v>307</v>
      </c>
      <c r="N178">
        <v>1</v>
      </c>
      <c r="O178">
        <v>0.14000000000000001</v>
      </c>
      <c r="P178" s="1" t="s">
        <v>306</v>
      </c>
      <c r="Q178">
        <v>473</v>
      </c>
      <c r="R178" s="1" t="s">
        <v>308</v>
      </c>
      <c r="S178">
        <v>1</v>
      </c>
      <c r="T178">
        <v>0.17</v>
      </c>
      <c r="U178" s="1" t="s">
        <v>306</v>
      </c>
      <c r="V178">
        <v>473</v>
      </c>
      <c r="W178" s="1" t="s">
        <v>309</v>
      </c>
      <c r="X178">
        <v>1</v>
      </c>
      <c r="Y178">
        <v>7.2999999999999995E-2</v>
      </c>
      <c r="Z178" s="1" t="s">
        <v>306</v>
      </c>
      <c r="AA178">
        <v>473</v>
      </c>
      <c r="AB178" s="1" t="s">
        <v>310</v>
      </c>
      <c r="AC178">
        <v>1</v>
      </c>
      <c r="AD178">
        <v>13.39132</v>
      </c>
      <c r="AE178" s="1" t="s">
        <v>311</v>
      </c>
      <c r="AF178">
        <v>473</v>
      </c>
      <c r="AG178" s="1" t="s">
        <v>312</v>
      </c>
      <c r="AH178">
        <v>1</v>
      </c>
      <c r="AI178">
        <v>0.09</v>
      </c>
      <c r="AJ178" s="1" t="s">
        <v>306</v>
      </c>
      <c r="AK178">
        <v>473</v>
      </c>
      <c r="AL178" s="1" t="s">
        <v>313</v>
      </c>
      <c r="AM178">
        <v>1</v>
      </c>
      <c r="AN178">
        <v>0</v>
      </c>
      <c r="AO178" s="1" t="s">
        <v>306</v>
      </c>
      <c r="AP178">
        <v>473</v>
      </c>
      <c r="AQ178" s="1" t="s">
        <v>314</v>
      </c>
      <c r="AR178">
        <v>1</v>
      </c>
      <c r="AS178">
        <v>0.73</v>
      </c>
      <c r="AT178" s="1" t="s">
        <v>306</v>
      </c>
      <c r="AU178">
        <v>473</v>
      </c>
      <c r="AV178" s="1" t="s">
        <v>315</v>
      </c>
      <c r="AW178">
        <v>1</v>
      </c>
      <c r="AX178" t="b">
        <v>0</v>
      </c>
      <c r="AY178" s="1" t="s">
        <v>316</v>
      </c>
      <c r="AZ178">
        <v>473</v>
      </c>
      <c r="BA178" s="1" t="s">
        <v>317</v>
      </c>
    </row>
    <row r="179" spans="1:53" x14ac:dyDescent="0.25">
      <c r="A179">
        <v>181</v>
      </c>
      <c r="B179" s="1" t="s">
        <v>233</v>
      </c>
      <c r="C179">
        <v>573</v>
      </c>
      <c r="D179">
        <v>1</v>
      </c>
      <c r="E179" t="b">
        <v>0</v>
      </c>
      <c r="F179" s="1" t="s">
        <v>304</v>
      </c>
      <c r="G179" s="1" t="s">
        <v>305</v>
      </c>
      <c r="H179">
        <v>573</v>
      </c>
      <c r="I179">
        <v>1</v>
      </c>
      <c r="J179">
        <v>0.28000000000000003</v>
      </c>
      <c r="K179" s="1" t="s">
        <v>306</v>
      </c>
      <c r="L179">
        <v>573</v>
      </c>
      <c r="M179" s="1" t="s">
        <v>307</v>
      </c>
      <c r="N179">
        <v>1</v>
      </c>
      <c r="O179">
        <v>0.03</v>
      </c>
      <c r="P179" s="1" t="s">
        <v>306</v>
      </c>
      <c r="Q179">
        <v>573</v>
      </c>
      <c r="R179" s="1" t="s">
        <v>308</v>
      </c>
      <c r="S179">
        <v>1</v>
      </c>
      <c r="T179">
        <v>0.18</v>
      </c>
      <c r="U179" s="1" t="s">
        <v>306</v>
      </c>
      <c r="V179">
        <v>573</v>
      </c>
      <c r="W179" s="1" t="s">
        <v>309</v>
      </c>
      <c r="X179">
        <v>1</v>
      </c>
      <c r="Y179">
        <v>7.2999999999999995E-2</v>
      </c>
      <c r="Z179" s="1" t="s">
        <v>306</v>
      </c>
      <c r="AA179">
        <v>573</v>
      </c>
      <c r="AB179" s="1" t="s">
        <v>310</v>
      </c>
      <c r="AC179">
        <v>1</v>
      </c>
      <c r="AD179">
        <v>13.455830000000001</v>
      </c>
      <c r="AE179" s="1" t="s">
        <v>311</v>
      </c>
      <c r="AF179">
        <v>573</v>
      </c>
      <c r="AG179" s="1" t="s">
        <v>312</v>
      </c>
      <c r="AH179">
        <v>1</v>
      </c>
      <c r="AI179">
        <v>0.09</v>
      </c>
      <c r="AJ179" s="1" t="s">
        <v>306</v>
      </c>
      <c r="AK179">
        <v>573</v>
      </c>
      <c r="AL179" s="1" t="s">
        <v>313</v>
      </c>
      <c r="AM179">
        <v>1</v>
      </c>
      <c r="AN179">
        <v>0</v>
      </c>
      <c r="AO179" s="1" t="s">
        <v>306</v>
      </c>
      <c r="AP179">
        <v>573</v>
      </c>
      <c r="AQ179" s="1" t="s">
        <v>314</v>
      </c>
      <c r="AR179">
        <v>1</v>
      </c>
      <c r="AS179">
        <v>0.73</v>
      </c>
      <c r="AT179" s="1" t="s">
        <v>306</v>
      </c>
      <c r="AU179">
        <v>573</v>
      </c>
      <c r="AV179" s="1" t="s">
        <v>315</v>
      </c>
      <c r="AW179">
        <v>1</v>
      </c>
      <c r="AX179" t="b">
        <v>0</v>
      </c>
      <c r="AY179" s="1" t="s">
        <v>316</v>
      </c>
      <c r="AZ179">
        <v>573</v>
      </c>
      <c r="BA179" s="1" t="s">
        <v>317</v>
      </c>
    </row>
    <row r="180" spans="1:53" x14ac:dyDescent="0.25">
      <c r="A180">
        <v>230</v>
      </c>
      <c r="B180" s="1" t="s">
        <v>281</v>
      </c>
      <c r="C180">
        <v>717</v>
      </c>
      <c r="D180">
        <v>1</v>
      </c>
      <c r="E180" t="b">
        <v>0</v>
      </c>
      <c r="F180" s="1" t="s">
        <v>304</v>
      </c>
      <c r="G180" s="1" t="s">
        <v>305</v>
      </c>
      <c r="H180">
        <v>717</v>
      </c>
      <c r="I180">
        <v>1</v>
      </c>
      <c r="J180">
        <v>0.43</v>
      </c>
      <c r="K180" s="1" t="s">
        <v>306</v>
      </c>
      <c r="L180">
        <v>717</v>
      </c>
      <c r="M180" s="1" t="s">
        <v>307</v>
      </c>
      <c r="N180">
        <v>1</v>
      </c>
      <c r="O180">
        <v>4.4999999999999998E-2</v>
      </c>
      <c r="P180" s="1" t="s">
        <v>306</v>
      </c>
      <c r="Q180">
        <v>717</v>
      </c>
      <c r="R180" s="1" t="s">
        <v>308</v>
      </c>
      <c r="S180">
        <v>1</v>
      </c>
      <c r="T180">
        <v>3.7999999999999999E-2</v>
      </c>
      <c r="U180" s="1" t="s">
        <v>306</v>
      </c>
      <c r="V180">
        <v>717</v>
      </c>
      <c r="W180" s="1" t="s">
        <v>309</v>
      </c>
      <c r="X180">
        <v>1</v>
      </c>
      <c r="Y180">
        <v>1.4E-2</v>
      </c>
      <c r="Z180" s="1" t="s">
        <v>306</v>
      </c>
      <c r="AA180">
        <v>717</v>
      </c>
      <c r="AB180" s="1" t="s">
        <v>310</v>
      </c>
      <c r="AC180">
        <v>1</v>
      </c>
      <c r="AD180">
        <v>6.0301739999999997</v>
      </c>
      <c r="AE180" s="1" t="s">
        <v>311</v>
      </c>
      <c r="AF180">
        <v>717</v>
      </c>
      <c r="AG180" s="1" t="s">
        <v>312</v>
      </c>
      <c r="AH180">
        <v>1</v>
      </c>
      <c r="AI180">
        <v>4.7E-2</v>
      </c>
      <c r="AJ180" s="1" t="s">
        <v>306</v>
      </c>
      <c r="AK180">
        <v>717</v>
      </c>
      <c r="AL180" s="1" t="s">
        <v>313</v>
      </c>
      <c r="AM180">
        <v>1</v>
      </c>
      <c r="AN180">
        <v>0</v>
      </c>
      <c r="AO180" s="1" t="s">
        <v>306</v>
      </c>
      <c r="AP180">
        <v>717</v>
      </c>
      <c r="AQ180" s="1" t="s">
        <v>314</v>
      </c>
      <c r="AR180">
        <v>1</v>
      </c>
      <c r="AS180">
        <v>0.36</v>
      </c>
      <c r="AT180" s="1" t="s">
        <v>306</v>
      </c>
      <c r="AU180">
        <v>717</v>
      </c>
      <c r="AV180" s="1" t="s">
        <v>315</v>
      </c>
      <c r="AW180">
        <v>1</v>
      </c>
      <c r="AX180" t="b">
        <v>0</v>
      </c>
      <c r="AY180" s="1" t="s">
        <v>316</v>
      </c>
      <c r="AZ180">
        <v>717</v>
      </c>
      <c r="BA180" s="1" t="s">
        <v>317</v>
      </c>
    </row>
    <row r="181" spans="1:53" x14ac:dyDescent="0.25">
      <c r="A181">
        <v>33</v>
      </c>
      <c r="B181" s="1" t="s">
        <v>85</v>
      </c>
      <c r="C181">
        <v>206</v>
      </c>
      <c r="D181">
        <v>14.482049999999999</v>
      </c>
      <c r="E181" t="b">
        <v>0</v>
      </c>
      <c r="F181" s="1">
        <v>206</v>
      </c>
      <c r="G181" s="1" t="s">
        <v>305</v>
      </c>
      <c r="H181">
        <v>206</v>
      </c>
      <c r="I181">
        <v>1</v>
      </c>
      <c r="J181">
        <v>9.9000000000000005E-2</v>
      </c>
      <c r="K181" s="1" t="s">
        <v>306</v>
      </c>
      <c r="L181">
        <v>206</v>
      </c>
      <c r="M181" s="1" t="s">
        <v>307</v>
      </c>
      <c r="N181">
        <v>1</v>
      </c>
      <c r="O181">
        <v>0.69099999999999995</v>
      </c>
      <c r="P181" s="1" t="s">
        <v>306</v>
      </c>
      <c r="Q181">
        <v>206</v>
      </c>
      <c r="R181" s="1" t="s">
        <v>308</v>
      </c>
      <c r="S181">
        <v>1</v>
      </c>
      <c r="T181">
        <v>9.7000000000000003E-2</v>
      </c>
      <c r="U181" s="1" t="s">
        <v>306</v>
      </c>
      <c r="V181">
        <v>206</v>
      </c>
      <c r="W181" s="1" t="s">
        <v>309</v>
      </c>
      <c r="X181">
        <v>1</v>
      </c>
      <c r="Y181">
        <v>2.5000000000000001E-2</v>
      </c>
      <c r="Z181" s="1" t="s">
        <v>306</v>
      </c>
      <c r="AA181">
        <v>206</v>
      </c>
      <c r="AB181" s="1" t="s">
        <v>310</v>
      </c>
      <c r="AC181">
        <v>1</v>
      </c>
      <c r="AD181">
        <v>14.482049999999999</v>
      </c>
      <c r="AE181" s="1" t="s">
        <v>311</v>
      </c>
      <c r="AF181">
        <v>206</v>
      </c>
      <c r="AG181" s="1" t="s">
        <v>312</v>
      </c>
      <c r="AH181">
        <v>1</v>
      </c>
      <c r="AI181">
        <v>6.0999999999999999E-2</v>
      </c>
      <c r="AJ181" s="1" t="s">
        <v>306</v>
      </c>
      <c r="AK181">
        <v>206</v>
      </c>
      <c r="AL181" s="1" t="s">
        <v>313</v>
      </c>
      <c r="AM181">
        <v>1</v>
      </c>
      <c r="AN181">
        <v>0</v>
      </c>
      <c r="AO181" s="1" t="s">
        <v>306</v>
      </c>
      <c r="AP181">
        <v>206</v>
      </c>
      <c r="AQ181" s="1" t="s">
        <v>314</v>
      </c>
      <c r="AR181">
        <v>1</v>
      </c>
      <c r="AS181">
        <v>0.85128999999999999</v>
      </c>
      <c r="AT181" s="1" t="s">
        <v>306</v>
      </c>
      <c r="AU181">
        <v>206</v>
      </c>
      <c r="AV181" s="1" t="s">
        <v>315</v>
      </c>
      <c r="AW181">
        <v>1</v>
      </c>
      <c r="AX181" t="b">
        <v>0</v>
      </c>
      <c r="AY181" s="1" t="s">
        <v>316</v>
      </c>
      <c r="AZ181">
        <v>206</v>
      </c>
      <c r="BA181" s="1" t="s">
        <v>317</v>
      </c>
    </row>
    <row r="182" spans="1:53" x14ac:dyDescent="0.25">
      <c r="A182">
        <v>60</v>
      </c>
      <c r="B182" s="1" t="s">
        <v>112</v>
      </c>
      <c r="C182">
        <v>251</v>
      </c>
      <c r="D182">
        <v>16.052910000000001</v>
      </c>
      <c r="E182" t="b">
        <v>0</v>
      </c>
      <c r="F182" s="1">
        <v>251</v>
      </c>
      <c r="G182" s="1" t="s">
        <v>305</v>
      </c>
      <c r="H182">
        <v>251</v>
      </c>
      <c r="I182">
        <v>1</v>
      </c>
      <c r="J182">
        <v>8.0000000000000002E-3</v>
      </c>
      <c r="K182" s="1" t="s">
        <v>306</v>
      </c>
      <c r="L182">
        <v>251</v>
      </c>
      <c r="M182" s="1" t="s">
        <v>307</v>
      </c>
      <c r="N182">
        <v>1</v>
      </c>
      <c r="O182">
        <v>0.85</v>
      </c>
      <c r="P182" s="1" t="s">
        <v>306</v>
      </c>
      <c r="Q182">
        <v>251</v>
      </c>
      <c r="R182" s="1" t="s">
        <v>308</v>
      </c>
      <c r="S182">
        <v>1</v>
      </c>
      <c r="T182">
        <v>8.1000000000000003E-2</v>
      </c>
      <c r="U182" s="1" t="s">
        <v>306</v>
      </c>
      <c r="V182">
        <v>251</v>
      </c>
      <c r="W182" s="1" t="s">
        <v>309</v>
      </c>
      <c r="X182">
        <v>1</v>
      </c>
      <c r="Y182">
        <v>0.01</v>
      </c>
      <c r="Z182" s="1" t="s">
        <v>306</v>
      </c>
      <c r="AA182">
        <v>251</v>
      </c>
      <c r="AB182" s="1" t="s">
        <v>310</v>
      </c>
      <c r="AC182">
        <v>1</v>
      </c>
      <c r="AD182">
        <v>16.052910000000001</v>
      </c>
      <c r="AE182" s="1" t="s">
        <v>311</v>
      </c>
      <c r="AF182">
        <v>251</v>
      </c>
      <c r="AG182" s="1" t="s">
        <v>312</v>
      </c>
      <c r="AH182">
        <v>1</v>
      </c>
      <c r="AI182">
        <v>5.0000000000000001E-3</v>
      </c>
      <c r="AJ182" s="1" t="s">
        <v>306</v>
      </c>
      <c r="AK182">
        <v>251</v>
      </c>
      <c r="AL182" s="1" t="s">
        <v>313</v>
      </c>
      <c r="AM182">
        <v>1</v>
      </c>
      <c r="AN182">
        <v>0</v>
      </c>
      <c r="AO182" s="1" t="s">
        <v>306</v>
      </c>
      <c r="AP182">
        <v>251</v>
      </c>
      <c r="AQ182" s="1" t="s">
        <v>314</v>
      </c>
      <c r="AR182">
        <v>1</v>
      </c>
      <c r="AS182">
        <v>0.91469999999999996</v>
      </c>
      <c r="AT182" s="1" t="s">
        <v>306</v>
      </c>
      <c r="AU182">
        <v>251</v>
      </c>
      <c r="AV182" s="1" t="s">
        <v>315</v>
      </c>
      <c r="AW182">
        <v>1</v>
      </c>
      <c r="AX182" t="b">
        <v>0</v>
      </c>
      <c r="AY182" s="1" t="s">
        <v>316</v>
      </c>
      <c r="AZ182">
        <v>251</v>
      </c>
      <c r="BA182" s="1" t="s">
        <v>317</v>
      </c>
    </row>
    <row r="183" spans="1:53" x14ac:dyDescent="0.25">
      <c r="A183">
        <v>120</v>
      </c>
      <c r="B183" s="1" t="s">
        <v>172</v>
      </c>
      <c r="C183">
        <v>387</v>
      </c>
      <c r="D183">
        <v>1</v>
      </c>
      <c r="E183" t="b">
        <v>1</v>
      </c>
      <c r="F183" s="1" t="s">
        <v>304</v>
      </c>
      <c r="G183" s="1" t="s">
        <v>305</v>
      </c>
      <c r="H183">
        <v>387</v>
      </c>
      <c r="I183">
        <v>1</v>
      </c>
      <c r="J183">
        <v>7.4999999999999997E-2</v>
      </c>
      <c r="K183" s="1" t="s">
        <v>306</v>
      </c>
      <c r="L183">
        <v>387</v>
      </c>
      <c r="M183" s="1" t="s">
        <v>307</v>
      </c>
      <c r="N183">
        <v>1</v>
      </c>
      <c r="O183">
        <v>0.42</v>
      </c>
      <c r="P183" s="1" t="s">
        <v>306</v>
      </c>
      <c r="Q183">
        <v>387</v>
      </c>
      <c r="R183" s="1" t="s">
        <v>308</v>
      </c>
      <c r="S183">
        <v>1</v>
      </c>
      <c r="T183">
        <v>0.11899999999999999</v>
      </c>
      <c r="U183" s="1" t="s">
        <v>306</v>
      </c>
      <c r="V183">
        <v>387</v>
      </c>
      <c r="W183" s="1" t="s">
        <v>309</v>
      </c>
      <c r="X183">
        <v>1</v>
      </c>
      <c r="Y183">
        <v>8.0000000000000002E-3</v>
      </c>
      <c r="Z183" s="1" t="s">
        <v>306</v>
      </c>
      <c r="AA183">
        <v>387</v>
      </c>
      <c r="AB183" s="1" t="s">
        <v>310</v>
      </c>
      <c r="AC183">
        <v>1</v>
      </c>
      <c r="AD183">
        <v>13.488899999999999</v>
      </c>
      <c r="AE183" s="1" t="s">
        <v>311</v>
      </c>
      <c r="AF183">
        <v>387</v>
      </c>
      <c r="AG183" s="1" t="s">
        <v>312</v>
      </c>
      <c r="AH183">
        <v>1</v>
      </c>
      <c r="AI183">
        <v>0.11700000000000001</v>
      </c>
      <c r="AJ183" s="1" t="s">
        <v>306</v>
      </c>
      <c r="AK183">
        <v>387</v>
      </c>
      <c r="AL183" s="1" t="s">
        <v>313</v>
      </c>
      <c r="AM183">
        <v>1</v>
      </c>
      <c r="AN183">
        <v>0</v>
      </c>
      <c r="AO183" s="1" t="s">
        <v>306</v>
      </c>
      <c r="AP183">
        <v>387</v>
      </c>
      <c r="AQ183" s="1" t="s">
        <v>314</v>
      </c>
      <c r="AR183">
        <v>1</v>
      </c>
      <c r="AS183">
        <v>0.87</v>
      </c>
      <c r="AT183" s="1" t="s">
        <v>306</v>
      </c>
      <c r="AU183">
        <v>387</v>
      </c>
      <c r="AV183" s="1" t="s">
        <v>315</v>
      </c>
      <c r="AW183">
        <v>1</v>
      </c>
      <c r="AX183" t="b">
        <v>0</v>
      </c>
      <c r="AY183" s="1" t="s">
        <v>316</v>
      </c>
      <c r="AZ183">
        <v>387</v>
      </c>
      <c r="BA183" s="1" t="s">
        <v>317</v>
      </c>
    </row>
    <row r="184" spans="1:53" x14ac:dyDescent="0.25">
      <c r="A184">
        <v>34</v>
      </c>
      <c r="B184" s="1" t="s">
        <v>86</v>
      </c>
      <c r="C184">
        <v>207</v>
      </c>
      <c r="D184">
        <v>15.684990000000001</v>
      </c>
      <c r="E184" t="b">
        <v>1</v>
      </c>
      <c r="F184" s="1">
        <v>207</v>
      </c>
      <c r="G184" s="1" t="s">
        <v>305</v>
      </c>
      <c r="H184">
        <v>207</v>
      </c>
      <c r="I184">
        <v>1</v>
      </c>
      <c r="J184">
        <v>2.470588E-2</v>
      </c>
      <c r="K184" s="1" t="s">
        <v>306</v>
      </c>
      <c r="L184">
        <v>207</v>
      </c>
      <c r="M184" s="1" t="s">
        <v>307</v>
      </c>
      <c r="N184">
        <v>1</v>
      </c>
      <c r="O184">
        <v>0.71</v>
      </c>
      <c r="P184" s="1" t="s">
        <v>306</v>
      </c>
      <c r="Q184">
        <v>207</v>
      </c>
      <c r="R184" s="1" t="s">
        <v>308</v>
      </c>
      <c r="S184">
        <v>1</v>
      </c>
      <c r="T184">
        <v>9.7647049999999999E-2</v>
      </c>
      <c r="U184" s="1" t="s">
        <v>306</v>
      </c>
      <c r="V184">
        <v>207</v>
      </c>
      <c r="W184" s="1" t="s">
        <v>309</v>
      </c>
      <c r="X184">
        <v>1</v>
      </c>
      <c r="Y184">
        <v>2.12E-2</v>
      </c>
      <c r="Z184" s="1" t="s">
        <v>306</v>
      </c>
      <c r="AA184">
        <v>207</v>
      </c>
      <c r="AB184" s="1" t="s">
        <v>310</v>
      </c>
      <c r="AC184">
        <v>1</v>
      </c>
      <c r="AD184">
        <v>15.684990000000001</v>
      </c>
      <c r="AE184" s="1" t="s">
        <v>311</v>
      </c>
      <c r="AF184">
        <v>207</v>
      </c>
      <c r="AG184" s="1" t="s">
        <v>312</v>
      </c>
      <c r="AH184">
        <v>1</v>
      </c>
      <c r="AI184">
        <v>0.02</v>
      </c>
      <c r="AJ184" s="1" t="s">
        <v>306</v>
      </c>
      <c r="AK184">
        <v>207</v>
      </c>
      <c r="AL184" s="1" t="s">
        <v>313</v>
      </c>
      <c r="AM184">
        <v>1</v>
      </c>
      <c r="AN184">
        <v>0</v>
      </c>
      <c r="AO184" s="1" t="s">
        <v>306</v>
      </c>
      <c r="AP184">
        <v>207</v>
      </c>
      <c r="AQ184" s="1" t="s">
        <v>314</v>
      </c>
      <c r="AR184">
        <v>1</v>
      </c>
      <c r="AS184">
        <v>0.89</v>
      </c>
      <c r="AT184" s="1" t="s">
        <v>306</v>
      </c>
      <c r="AU184">
        <v>207</v>
      </c>
      <c r="AV184" s="1" t="s">
        <v>315</v>
      </c>
      <c r="AW184">
        <v>1</v>
      </c>
      <c r="AX184" t="b">
        <v>0</v>
      </c>
      <c r="AY184" s="1" t="s">
        <v>316</v>
      </c>
      <c r="AZ184">
        <v>207</v>
      </c>
      <c r="BA184" s="1" t="s">
        <v>317</v>
      </c>
    </row>
    <row r="185" spans="1:53" x14ac:dyDescent="0.25">
      <c r="A185">
        <v>62</v>
      </c>
      <c r="B185" s="1" t="s">
        <v>114</v>
      </c>
      <c r="C185">
        <v>256</v>
      </c>
      <c r="D185">
        <v>13.51656</v>
      </c>
      <c r="E185" t="b">
        <v>0</v>
      </c>
      <c r="F185" s="1">
        <v>256</v>
      </c>
      <c r="G185" s="1" t="s">
        <v>305</v>
      </c>
      <c r="H185">
        <v>256</v>
      </c>
      <c r="I185">
        <v>1</v>
      </c>
      <c r="J185">
        <v>6.5000000000000002E-2</v>
      </c>
      <c r="K185" s="1" t="s">
        <v>306</v>
      </c>
      <c r="L185">
        <v>256</v>
      </c>
      <c r="M185" s="1" t="s">
        <v>307</v>
      </c>
      <c r="N185">
        <v>1</v>
      </c>
      <c r="O185">
        <v>0.32</v>
      </c>
      <c r="P185" s="1" t="s">
        <v>306</v>
      </c>
      <c r="Q185">
        <v>256</v>
      </c>
      <c r="R185" s="1" t="s">
        <v>308</v>
      </c>
      <c r="S185">
        <v>1</v>
      </c>
      <c r="T185">
        <v>0.16700000000000001</v>
      </c>
      <c r="U185" s="1" t="s">
        <v>306</v>
      </c>
      <c r="V185">
        <v>256</v>
      </c>
      <c r="W185" s="1" t="s">
        <v>309</v>
      </c>
      <c r="X185">
        <v>1</v>
      </c>
      <c r="Y185">
        <v>3.5000000000000003E-2</v>
      </c>
      <c r="Z185" s="1" t="s">
        <v>306</v>
      </c>
      <c r="AA185">
        <v>256</v>
      </c>
      <c r="AB185" s="1" t="s">
        <v>310</v>
      </c>
      <c r="AC185">
        <v>1</v>
      </c>
      <c r="AD185">
        <v>13.51656</v>
      </c>
      <c r="AE185" s="1" t="s">
        <v>311</v>
      </c>
      <c r="AF185">
        <v>256</v>
      </c>
      <c r="AG185" s="1" t="s">
        <v>312</v>
      </c>
      <c r="AH185">
        <v>1</v>
      </c>
      <c r="AI185">
        <v>5.7000000000000002E-2</v>
      </c>
      <c r="AJ185" s="1" t="s">
        <v>306</v>
      </c>
      <c r="AK185">
        <v>256</v>
      </c>
      <c r="AL185" s="1" t="s">
        <v>313</v>
      </c>
      <c r="AM185">
        <v>1</v>
      </c>
      <c r="AN185">
        <v>0</v>
      </c>
      <c r="AO185" s="1" t="s">
        <v>306</v>
      </c>
      <c r="AP185">
        <v>256</v>
      </c>
      <c r="AQ185" s="1" t="s">
        <v>314</v>
      </c>
      <c r="AR185">
        <v>1</v>
      </c>
      <c r="AS185">
        <v>0.75092000000000003</v>
      </c>
      <c r="AT185" s="1" t="s">
        <v>306</v>
      </c>
      <c r="AU185">
        <v>256</v>
      </c>
      <c r="AV185" s="1" t="s">
        <v>315</v>
      </c>
      <c r="AW185">
        <v>1</v>
      </c>
      <c r="AX185" t="b">
        <v>0</v>
      </c>
      <c r="AY185" s="1" t="s">
        <v>316</v>
      </c>
      <c r="AZ185">
        <v>256</v>
      </c>
      <c r="BA185" s="1" t="s">
        <v>317</v>
      </c>
    </row>
    <row r="186" spans="1:53" x14ac:dyDescent="0.25">
      <c r="A186">
        <v>63</v>
      </c>
      <c r="B186" s="1" t="s">
        <v>115</v>
      </c>
      <c r="C186">
        <v>257</v>
      </c>
      <c r="D186">
        <v>14.941420000000001</v>
      </c>
      <c r="E186" t="b">
        <v>0</v>
      </c>
      <c r="F186" s="1">
        <v>257</v>
      </c>
      <c r="G186" s="1" t="s">
        <v>305</v>
      </c>
      <c r="H186">
        <v>257</v>
      </c>
      <c r="I186">
        <v>1</v>
      </c>
      <c r="J186">
        <v>3.6999999999999998E-2</v>
      </c>
      <c r="K186" s="1" t="s">
        <v>306</v>
      </c>
      <c r="L186">
        <v>257</v>
      </c>
      <c r="M186" s="1" t="s">
        <v>307</v>
      </c>
      <c r="N186">
        <v>1</v>
      </c>
      <c r="O186">
        <v>0.35</v>
      </c>
      <c r="P186" s="1" t="s">
        <v>306</v>
      </c>
      <c r="Q186">
        <v>257</v>
      </c>
      <c r="R186" s="1" t="s">
        <v>308</v>
      </c>
      <c r="S186">
        <v>1</v>
      </c>
      <c r="T186">
        <v>0.16800000000000001</v>
      </c>
      <c r="U186" s="1" t="s">
        <v>306</v>
      </c>
      <c r="V186">
        <v>257</v>
      </c>
      <c r="W186" s="1" t="s">
        <v>309</v>
      </c>
      <c r="X186">
        <v>1</v>
      </c>
      <c r="Y186">
        <v>3.4000000000000002E-2</v>
      </c>
      <c r="Z186" s="1" t="s">
        <v>306</v>
      </c>
      <c r="AA186">
        <v>257</v>
      </c>
      <c r="AB186" s="1" t="s">
        <v>310</v>
      </c>
      <c r="AC186">
        <v>1</v>
      </c>
      <c r="AD186">
        <v>14.941420000000001</v>
      </c>
      <c r="AE186" s="1" t="s">
        <v>311</v>
      </c>
      <c r="AF186">
        <v>257</v>
      </c>
      <c r="AG186" s="1" t="s">
        <v>312</v>
      </c>
      <c r="AH186">
        <v>1</v>
      </c>
      <c r="AI186">
        <v>3.5000000000000003E-2</v>
      </c>
      <c r="AJ186" s="1" t="s">
        <v>306</v>
      </c>
      <c r="AK186">
        <v>257</v>
      </c>
      <c r="AL186" s="1" t="s">
        <v>313</v>
      </c>
      <c r="AM186">
        <v>1</v>
      </c>
      <c r="AN186">
        <v>0</v>
      </c>
      <c r="AO186" s="1" t="s">
        <v>306</v>
      </c>
      <c r="AP186">
        <v>257</v>
      </c>
      <c r="AQ186" s="1" t="s">
        <v>314</v>
      </c>
      <c r="AR186">
        <v>1</v>
      </c>
      <c r="AS186">
        <v>0.81972999999999996</v>
      </c>
      <c r="AT186" s="1" t="s">
        <v>306</v>
      </c>
      <c r="AU186">
        <v>257</v>
      </c>
      <c r="AV186" s="1" t="s">
        <v>315</v>
      </c>
      <c r="AW186">
        <v>1</v>
      </c>
      <c r="AX186" t="b">
        <v>0</v>
      </c>
      <c r="AY186" s="1" t="s">
        <v>316</v>
      </c>
      <c r="AZ186">
        <v>257</v>
      </c>
      <c r="BA186" s="1" t="s">
        <v>317</v>
      </c>
    </row>
    <row r="187" spans="1:53" x14ac:dyDescent="0.25">
      <c r="A187">
        <v>246</v>
      </c>
      <c r="B187" s="1" t="s">
        <v>297</v>
      </c>
      <c r="C187">
        <v>796</v>
      </c>
      <c r="D187">
        <v>1</v>
      </c>
      <c r="E187" t="b">
        <v>0</v>
      </c>
      <c r="F187" s="1" t="s">
        <v>304</v>
      </c>
      <c r="G187" s="1" t="s">
        <v>305</v>
      </c>
      <c r="H187">
        <v>796</v>
      </c>
      <c r="I187">
        <v>1</v>
      </c>
      <c r="J187">
        <v>0.44</v>
      </c>
      <c r="K187" s="1" t="s">
        <v>306</v>
      </c>
      <c r="L187">
        <v>796</v>
      </c>
      <c r="M187" s="1" t="s">
        <v>307</v>
      </c>
      <c r="N187">
        <v>1</v>
      </c>
      <c r="O187">
        <v>0</v>
      </c>
      <c r="P187" s="1" t="s">
        <v>306</v>
      </c>
      <c r="Q187">
        <v>796</v>
      </c>
      <c r="R187" s="1" t="s">
        <v>308</v>
      </c>
      <c r="S187">
        <v>1</v>
      </c>
      <c r="T187">
        <v>3.7999999999999999E-2</v>
      </c>
      <c r="U187" s="1" t="s">
        <v>306</v>
      </c>
      <c r="V187">
        <v>796</v>
      </c>
      <c r="W187" s="1" t="s">
        <v>309</v>
      </c>
      <c r="X187">
        <v>1</v>
      </c>
      <c r="Y187">
        <v>1.9E-2</v>
      </c>
      <c r="Z187" s="1" t="s">
        <v>306</v>
      </c>
      <c r="AA187">
        <v>796</v>
      </c>
      <c r="AB187" s="1" t="s">
        <v>310</v>
      </c>
      <c r="AC187">
        <v>1</v>
      </c>
      <c r="AD187">
        <v>6.8464869999999998</v>
      </c>
      <c r="AE187" s="1" t="s">
        <v>311</v>
      </c>
      <c r="AF187">
        <v>796</v>
      </c>
      <c r="AG187" s="1" t="s">
        <v>312</v>
      </c>
      <c r="AH187">
        <v>1</v>
      </c>
      <c r="AI187">
        <v>3.5999999999999997E-2</v>
      </c>
      <c r="AJ187" s="1" t="s">
        <v>306</v>
      </c>
      <c r="AK187">
        <v>796</v>
      </c>
      <c r="AL187" s="1" t="s">
        <v>313</v>
      </c>
      <c r="AM187">
        <v>1</v>
      </c>
      <c r="AN187">
        <v>0</v>
      </c>
      <c r="AO187" s="1" t="s">
        <v>306</v>
      </c>
      <c r="AP187">
        <v>796</v>
      </c>
      <c r="AQ187" s="1" t="s">
        <v>314</v>
      </c>
      <c r="AR187">
        <v>1</v>
      </c>
      <c r="AS187">
        <v>0.4</v>
      </c>
      <c r="AT187" s="1" t="s">
        <v>306</v>
      </c>
      <c r="AU187">
        <v>796</v>
      </c>
      <c r="AV187" s="1" t="s">
        <v>315</v>
      </c>
      <c r="AW187">
        <v>1</v>
      </c>
      <c r="AX187" t="b">
        <v>1</v>
      </c>
      <c r="AY187" s="1" t="s">
        <v>316</v>
      </c>
      <c r="AZ187">
        <v>796</v>
      </c>
      <c r="BA187" s="1" t="s">
        <v>317</v>
      </c>
    </row>
    <row r="188" spans="1:53" x14ac:dyDescent="0.25">
      <c r="A188">
        <v>221</v>
      </c>
      <c r="B188" s="1" t="s">
        <v>273</v>
      </c>
      <c r="C188">
        <v>689</v>
      </c>
      <c r="D188">
        <v>1</v>
      </c>
      <c r="E188" t="b">
        <v>0</v>
      </c>
      <c r="F188" s="1" t="s">
        <v>304</v>
      </c>
      <c r="G188" s="1" t="s">
        <v>305</v>
      </c>
      <c r="H188">
        <v>689</v>
      </c>
      <c r="I188">
        <v>1</v>
      </c>
      <c r="J188">
        <v>0.45300000000000001</v>
      </c>
      <c r="K188" s="1" t="s">
        <v>306</v>
      </c>
      <c r="L188">
        <v>689</v>
      </c>
      <c r="M188" s="1" t="s">
        <v>307</v>
      </c>
      <c r="N188">
        <v>1</v>
      </c>
      <c r="O188">
        <v>0</v>
      </c>
      <c r="P188" s="1" t="s">
        <v>306</v>
      </c>
      <c r="Q188">
        <v>689</v>
      </c>
      <c r="R188" s="1" t="s">
        <v>308</v>
      </c>
      <c r="S188">
        <v>1</v>
      </c>
      <c r="T188">
        <v>0.08</v>
      </c>
      <c r="U188" s="1" t="s">
        <v>306</v>
      </c>
      <c r="V188">
        <v>689</v>
      </c>
      <c r="W188" s="1" t="s">
        <v>309</v>
      </c>
      <c r="X188">
        <v>1</v>
      </c>
      <c r="Y188">
        <v>1.9E-2</v>
      </c>
      <c r="Z188" s="1" t="s">
        <v>306</v>
      </c>
      <c r="AA188">
        <v>689</v>
      </c>
      <c r="AB188" s="1" t="s">
        <v>310</v>
      </c>
      <c r="AC188">
        <v>1</v>
      </c>
      <c r="AD188">
        <v>9.4989640000000009</v>
      </c>
      <c r="AE188" s="1" t="s">
        <v>311</v>
      </c>
      <c r="AF188">
        <v>689</v>
      </c>
      <c r="AG188" s="1" t="s">
        <v>312</v>
      </c>
      <c r="AH188">
        <v>1</v>
      </c>
      <c r="AI188">
        <v>3.1E-2</v>
      </c>
      <c r="AJ188" s="1" t="s">
        <v>306</v>
      </c>
      <c r="AK188">
        <v>689</v>
      </c>
      <c r="AL188" s="1" t="s">
        <v>313</v>
      </c>
      <c r="AM188">
        <v>1</v>
      </c>
      <c r="AN188">
        <v>0</v>
      </c>
      <c r="AO188" s="1" t="s">
        <v>306</v>
      </c>
      <c r="AP188">
        <v>689</v>
      </c>
      <c r="AQ188" s="1" t="s">
        <v>314</v>
      </c>
      <c r="AR188">
        <v>1</v>
      </c>
      <c r="AS188">
        <v>0.54</v>
      </c>
      <c r="AT188" s="1" t="s">
        <v>306</v>
      </c>
      <c r="AU188">
        <v>689</v>
      </c>
      <c r="AV188" s="1" t="s">
        <v>315</v>
      </c>
      <c r="AW188">
        <v>1</v>
      </c>
      <c r="AX188" t="b">
        <v>0</v>
      </c>
      <c r="AY188" s="1" t="s">
        <v>316</v>
      </c>
      <c r="AZ188">
        <v>689</v>
      </c>
      <c r="BA188" s="1" t="s">
        <v>317</v>
      </c>
    </row>
    <row r="189" spans="1:53" x14ac:dyDescent="0.25">
      <c r="A189">
        <v>222</v>
      </c>
      <c r="B189" s="1" t="s">
        <v>273</v>
      </c>
      <c r="C189">
        <v>697</v>
      </c>
      <c r="D189">
        <v>1</v>
      </c>
      <c r="E189" t="b">
        <v>0</v>
      </c>
      <c r="F189" s="1" t="s">
        <v>304</v>
      </c>
      <c r="G189" s="1" t="s">
        <v>305</v>
      </c>
      <c r="H189">
        <v>697</v>
      </c>
      <c r="I189">
        <v>1</v>
      </c>
      <c r="J189">
        <v>0.44</v>
      </c>
      <c r="K189" s="1" t="s">
        <v>306</v>
      </c>
      <c r="L189">
        <v>697</v>
      </c>
      <c r="M189" s="1" t="s">
        <v>307</v>
      </c>
      <c r="N189">
        <v>1</v>
      </c>
      <c r="O189">
        <v>0</v>
      </c>
      <c r="P189" s="1" t="s">
        <v>306</v>
      </c>
      <c r="Q189">
        <v>697</v>
      </c>
      <c r="R189" s="1" t="s">
        <v>308</v>
      </c>
      <c r="S189">
        <v>1</v>
      </c>
      <c r="T189">
        <v>0.08</v>
      </c>
      <c r="U189" s="1" t="s">
        <v>306</v>
      </c>
      <c r="V189">
        <v>697</v>
      </c>
      <c r="W189" s="1" t="s">
        <v>309</v>
      </c>
      <c r="X189">
        <v>1</v>
      </c>
      <c r="Y189">
        <v>1.9E-2</v>
      </c>
      <c r="Z189" s="1" t="s">
        <v>306</v>
      </c>
      <c r="AA189">
        <v>697</v>
      </c>
      <c r="AB189" s="1" t="s">
        <v>310</v>
      </c>
      <c r="AC189">
        <v>1</v>
      </c>
      <c r="AD189">
        <v>8.4516220000000004</v>
      </c>
      <c r="AE189" s="1" t="s">
        <v>311</v>
      </c>
      <c r="AF189">
        <v>697</v>
      </c>
      <c r="AG189" s="1" t="s">
        <v>312</v>
      </c>
      <c r="AH189">
        <v>1</v>
      </c>
      <c r="AI189">
        <v>3.5999999999999997E-2</v>
      </c>
      <c r="AJ189" s="1" t="s">
        <v>306</v>
      </c>
      <c r="AK189">
        <v>697</v>
      </c>
      <c r="AL189" s="1" t="s">
        <v>313</v>
      </c>
      <c r="AM189">
        <v>1</v>
      </c>
      <c r="AN189">
        <v>0</v>
      </c>
      <c r="AO189" s="1" t="s">
        <v>306</v>
      </c>
      <c r="AP189">
        <v>697</v>
      </c>
      <c r="AQ189" s="1" t="s">
        <v>314</v>
      </c>
      <c r="AR189">
        <v>1</v>
      </c>
      <c r="AS189">
        <v>0.48</v>
      </c>
      <c r="AT189" s="1" t="s">
        <v>306</v>
      </c>
      <c r="AU189">
        <v>697</v>
      </c>
      <c r="AV189" s="1" t="s">
        <v>315</v>
      </c>
      <c r="AW189">
        <v>1</v>
      </c>
      <c r="AX189" t="b">
        <v>0</v>
      </c>
      <c r="AY189" s="1" t="s">
        <v>316</v>
      </c>
      <c r="AZ189">
        <v>697</v>
      </c>
      <c r="BA189" s="1" t="s">
        <v>317</v>
      </c>
    </row>
    <row r="190" spans="1:53" x14ac:dyDescent="0.25">
      <c r="A190">
        <v>229</v>
      </c>
      <c r="B190" s="1" t="s">
        <v>280</v>
      </c>
      <c r="C190">
        <v>716</v>
      </c>
      <c r="D190">
        <v>1</v>
      </c>
      <c r="E190" t="b">
        <v>0</v>
      </c>
      <c r="F190" s="1" t="s">
        <v>304</v>
      </c>
      <c r="G190" s="1" t="s">
        <v>305</v>
      </c>
      <c r="H190">
        <v>716</v>
      </c>
      <c r="I190">
        <v>1</v>
      </c>
      <c r="J190">
        <v>0.33</v>
      </c>
      <c r="K190" s="1" t="s">
        <v>306</v>
      </c>
      <c r="L190">
        <v>716</v>
      </c>
      <c r="M190" s="1" t="s">
        <v>307</v>
      </c>
      <c r="N190">
        <v>1</v>
      </c>
      <c r="O190">
        <v>4.4999999999999998E-2</v>
      </c>
      <c r="P190" s="1" t="s">
        <v>306</v>
      </c>
      <c r="Q190">
        <v>716</v>
      </c>
      <c r="R190" s="1" t="s">
        <v>308</v>
      </c>
      <c r="S190">
        <v>1</v>
      </c>
      <c r="T190">
        <v>6.5000000000000002E-2</v>
      </c>
      <c r="U190" s="1" t="s">
        <v>306</v>
      </c>
      <c r="V190">
        <v>716</v>
      </c>
      <c r="W190" s="1" t="s">
        <v>309</v>
      </c>
      <c r="X190">
        <v>1</v>
      </c>
      <c r="Y190">
        <v>1.4E-2</v>
      </c>
      <c r="Z190" s="1" t="s">
        <v>306</v>
      </c>
      <c r="AA190">
        <v>716</v>
      </c>
      <c r="AB190" s="1" t="s">
        <v>310</v>
      </c>
      <c r="AC190">
        <v>1</v>
      </c>
      <c r="AD190">
        <v>8.924614</v>
      </c>
      <c r="AE190" s="1" t="s">
        <v>311</v>
      </c>
      <c r="AF190">
        <v>716</v>
      </c>
      <c r="AG190" s="1" t="s">
        <v>312</v>
      </c>
      <c r="AH190">
        <v>1</v>
      </c>
      <c r="AI190">
        <v>5.6000000000000001E-2</v>
      </c>
      <c r="AJ190" s="1" t="s">
        <v>306</v>
      </c>
      <c r="AK190">
        <v>716</v>
      </c>
      <c r="AL190" s="1" t="s">
        <v>313</v>
      </c>
      <c r="AM190">
        <v>1</v>
      </c>
      <c r="AN190">
        <v>0</v>
      </c>
      <c r="AO190" s="1" t="s">
        <v>306</v>
      </c>
      <c r="AP190">
        <v>716</v>
      </c>
      <c r="AQ190" s="1" t="s">
        <v>314</v>
      </c>
      <c r="AR190">
        <v>1</v>
      </c>
      <c r="AS190">
        <v>0.53</v>
      </c>
      <c r="AT190" s="1" t="s">
        <v>306</v>
      </c>
      <c r="AU190">
        <v>716</v>
      </c>
      <c r="AV190" s="1" t="s">
        <v>315</v>
      </c>
      <c r="AW190">
        <v>1</v>
      </c>
      <c r="AX190" t="b">
        <v>0</v>
      </c>
      <c r="AY190" s="1" t="s">
        <v>316</v>
      </c>
      <c r="AZ190">
        <v>716</v>
      </c>
      <c r="BA190" s="1" t="s">
        <v>317</v>
      </c>
    </row>
    <row r="191" spans="1:53" x14ac:dyDescent="0.25">
      <c r="A191">
        <v>104</v>
      </c>
      <c r="B191" s="1" t="s">
        <v>156</v>
      </c>
      <c r="C191">
        <v>345</v>
      </c>
      <c r="D191">
        <v>1</v>
      </c>
      <c r="E191" t="b">
        <v>0</v>
      </c>
      <c r="F191" s="1" t="s">
        <v>304</v>
      </c>
      <c r="G191" s="1" t="s">
        <v>305</v>
      </c>
      <c r="H191">
        <v>345</v>
      </c>
      <c r="I191">
        <v>1</v>
      </c>
      <c r="J191">
        <v>0</v>
      </c>
      <c r="K191" s="1" t="s">
        <v>306</v>
      </c>
      <c r="L191">
        <v>345</v>
      </c>
      <c r="M191" s="1" t="s">
        <v>307</v>
      </c>
      <c r="N191">
        <v>1</v>
      </c>
      <c r="O191">
        <v>0</v>
      </c>
      <c r="P191" s="1" t="s">
        <v>306</v>
      </c>
      <c r="Q191">
        <v>345</v>
      </c>
      <c r="R191" s="1" t="s">
        <v>308</v>
      </c>
      <c r="S191">
        <v>1</v>
      </c>
      <c r="T191">
        <v>0</v>
      </c>
      <c r="U191" s="1" t="s">
        <v>306</v>
      </c>
      <c r="V191">
        <v>345</v>
      </c>
      <c r="W191" s="1" t="s">
        <v>309</v>
      </c>
      <c r="X191">
        <v>1</v>
      </c>
      <c r="Y191">
        <v>1</v>
      </c>
      <c r="Z191" s="1" t="s">
        <v>306</v>
      </c>
      <c r="AA191">
        <v>345</v>
      </c>
      <c r="AB191" s="1" t="s">
        <v>310</v>
      </c>
      <c r="AC191">
        <v>1</v>
      </c>
      <c r="AD191">
        <v>32.202089999999998</v>
      </c>
      <c r="AE191" s="1" t="s">
        <v>311</v>
      </c>
      <c r="AF191">
        <v>345</v>
      </c>
      <c r="AG191" s="1" t="s">
        <v>312</v>
      </c>
      <c r="AH191">
        <v>1</v>
      </c>
      <c r="AI191">
        <v>0</v>
      </c>
      <c r="AJ191" s="1" t="s">
        <v>306</v>
      </c>
      <c r="AK191">
        <v>345</v>
      </c>
      <c r="AL191" s="1" t="s">
        <v>313</v>
      </c>
      <c r="AM191">
        <v>1</v>
      </c>
      <c r="AN191">
        <v>0</v>
      </c>
      <c r="AO191" s="1" t="s">
        <v>306</v>
      </c>
      <c r="AP191">
        <v>345</v>
      </c>
      <c r="AQ191" s="1" t="s">
        <v>314</v>
      </c>
      <c r="AR191">
        <v>1</v>
      </c>
      <c r="AS191">
        <v>0.95</v>
      </c>
      <c r="AT191" s="1" t="s">
        <v>306</v>
      </c>
      <c r="AU191">
        <v>345</v>
      </c>
      <c r="AV191" s="1" t="s">
        <v>315</v>
      </c>
      <c r="AW191">
        <v>1</v>
      </c>
      <c r="AX191" t="b">
        <v>0</v>
      </c>
      <c r="AY191" s="1" t="s">
        <v>316</v>
      </c>
      <c r="AZ191">
        <v>345</v>
      </c>
      <c r="BA191" s="1" t="s">
        <v>317</v>
      </c>
    </row>
    <row r="192" spans="1:53" x14ac:dyDescent="0.25">
      <c r="A192">
        <v>25</v>
      </c>
      <c r="B192" s="1" t="s">
        <v>77</v>
      </c>
      <c r="C192">
        <v>173</v>
      </c>
      <c r="D192">
        <v>15.13476</v>
      </c>
      <c r="E192" t="b">
        <v>0</v>
      </c>
      <c r="F192" s="1">
        <v>173</v>
      </c>
      <c r="G192" s="1" t="s">
        <v>305</v>
      </c>
      <c r="H192">
        <v>173</v>
      </c>
      <c r="I192">
        <v>1</v>
      </c>
      <c r="J192">
        <v>8.8999999999999996E-2</v>
      </c>
      <c r="K192" s="1" t="s">
        <v>306</v>
      </c>
      <c r="L192">
        <v>173</v>
      </c>
      <c r="M192" s="1" t="s">
        <v>307</v>
      </c>
      <c r="N192">
        <v>1</v>
      </c>
      <c r="O192">
        <v>0.125</v>
      </c>
      <c r="P192" s="1" t="s">
        <v>306</v>
      </c>
      <c r="Q192">
        <v>173</v>
      </c>
      <c r="R192" s="1" t="s">
        <v>308</v>
      </c>
      <c r="S192">
        <v>1</v>
      </c>
      <c r="T192">
        <v>0.46500000000000002</v>
      </c>
      <c r="U192" s="1" t="s">
        <v>306</v>
      </c>
      <c r="V192">
        <v>173</v>
      </c>
      <c r="W192" s="1" t="s">
        <v>309</v>
      </c>
      <c r="X192">
        <v>1</v>
      </c>
      <c r="Y192">
        <v>5.7000000000000002E-2</v>
      </c>
      <c r="Z192" s="1" t="s">
        <v>306</v>
      </c>
      <c r="AA192">
        <v>173</v>
      </c>
      <c r="AB192" s="1" t="s">
        <v>310</v>
      </c>
      <c r="AC192">
        <v>1</v>
      </c>
      <c r="AD192">
        <v>15.13476</v>
      </c>
      <c r="AE192" s="1" t="s">
        <v>311</v>
      </c>
      <c r="AF192">
        <v>173</v>
      </c>
      <c r="AG192" s="1" t="s">
        <v>312</v>
      </c>
      <c r="AH192">
        <v>1</v>
      </c>
      <c r="AI192">
        <v>0.13600000000000001</v>
      </c>
      <c r="AJ192" s="1" t="s">
        <v>306</v>
      </c>
      <c r="AK192">
        <v>173</v>
      </c>
      <c r="AL192" s="1" t="s">
        <v>313</v>
      </c>
      <c r="AM192">
        <v>1</v>
      </c>
      <c r="AN192">
        <v>0</v>
      </c>
      <c r="AO192" s="1" t="s">
        <v>306</v>
      </c>
      <c r="AP192">
        <v>173</v>
      </c>
      <c r="AQ192" s="1" t="s">
        <v>314</v>
      </c>
      <c r="AR192">
        <v>1</v>
      </c>
      <c r="AS192">
        <v>0.77546000000000004</v>
      </c>
      <c r="AT192" s="1" t="s">
        <v>306</v>
      </c>
      <c r="AU192">
        <v>173</v>
      </c>
      <c r="AV192" s="1" t="s">
        <v>315</v>
      </c>
      <c r="AW192">
        <v>1</v>
      </c>
      <c r="AX192" t="b">
        <v>0</v>
      </c>
      <c r="AY192" s="1" t="s">
        <v>316</v>
      </c>
      <c r="AZ192">
        <v>173</v>
      </c>
      <c r="BA192" s="1" t="s">
        <v>317</v>
      </c>
    </row>
    <row r="193" spans="1:53" x14ac:dyDescent="0.25">
      <c r="A193">
        <v>26</v>
      </c>
      <c r="B193" s="1" t="s">
        <v>78</v>
      </c>
      <c r="C193">
        <v>174</v>
      </c>
      <c r="D193">
        <v>14.48992</v>
      </c>
      <c r="E193" t="b">
        <v>0</v>
      </c>
      <c r="F193" s="1">
        <v>174</v>
      </c>
      <c r="G193" s="1" t="s">
        <v>305</v>
      </c>
      <c r="H193">
        <v>174</v>
      </c>
      <c r="I193">
        <v>1</v>
      </c>
      <c r="J193">
        <v>7.5999999999999998E-2</v>
      </c>
      <c r="K193" s="1" t="s">
        <v>306</v>
      </c>
      <c r="L193">
        <v>174</v>
      </c>
      <c r="M193" s="1" t="s">
        <v>307</v>
      </c>
      <c r="N193">
        <v>1</v>
      </c>
      <c r="O193">
        <v>0.125</v>
      </c>
      <c r="P193" s="1" t="s">
        <v>306</v>
      </c>
      <c r="Q193">
        <v>174</v>
      </c>
      <c r="R193" s="1" t="s">
        <v>308</v>
      </c>
      <c r="S193">
        <v>1</v>
      </c>
      <c r="T193">
        <v>0.49399999999999999</v>
      </c>
      <c r="U193" s="1" t="s">
        <v>306</v>
      </c>
      <c r="V193">
        <v>174</v>
      </c>
      <c r="W193" s="1" t="s">
        <v>309</v>
      </c>
      <c r="X193">
        <v>1</v>
      </c>
      <c r="Y193">
        <v>1.2999999999999999E-2</v>
      </c>
      <c r="Z193" s="1" t="s">
        <v>306</v>
      </c>
      <c r="AA193">
        <v>174</v>
      </c>
      <c r="AB193" s="1" t="s">
        <v>310</v>
      </c>
      <c r="AC193">
        <v>1</v>
      </c>
      <c r="AD193">
        <v>14.48992</v>
      </c>
      <c r="AE193" s="1" t="s">
        <v>311</v>
      </c>
      <c r="AF193">
        <v>174</v>
      </c>
      <c r="AG193" s="1" t="s">
        <v>312</v>
      </c>
      <c r="AH193">
        <v>1</v>
      </c>
      <c r="AI193">
        <v>0.14099999999999999</v>
      </c>
      <c r="AJ193" s="1" t="s">
        <v>306</v>
      </c>
      <c r="AK193">
        <v>174</v>
      </c>
      <c r="AL193" s="1" t="s">
        <v>313</v>
      </c>
      <c r="AM193">
        <v>1</v>
      </c>
      <c r="AN193">
        <v>0</v>
      </c>
      <c r="AO193" s="1" t="s">
        <v>306</v>
      </c>
      <c r="AP193">
        <v>174</v>
      </c>
      <c r="AQ193" s="1" t="s">
        <v>314</v>
      </c>
      <c r="AR193">
        <v>1</v>
      </c>
      <c r="AS193">
        <v>0.77178999999999998</v>
      </c>
      <c r="AT193" s="1" t="s">
        <v>306</v>
      </c>
      <c r="AU193">
        <v>174</v>
      </c>
      <c r="AV193" s="1" t="s">
        <v>315</v>
      </c>
      <c r="AW193">
        <v>1</v>
      </c>
      <c r="AX193" t="b">
        <v>0</v>
      </c>
      <c r="AY193" s="1" t="s">
        <v>316</v>
      </c>
      <c r="AZ193">
        <v>174</v>
      </c>
      <c r="BA193" s="1" t="s">
        <v>317</v>
      </c>
    </row>
    <row r="194" spans="1:53" x14ac:dyDescent="0.25">
      <c r="A194">
        <v>102</v>
      </c>
      <c r="B194" s="1" t="s">
        <v>154</v>
      </c>
      <c r="C194">
        <v>317</v>
      </c>
      <c r="D194">
        <v>1</v>
      </c>
      <c r="E194" t="b">
        <v>0</v>
      </c>
      <c r="F194" s="1" t="s">
        <v>304</v>
      </c>
      <c r="G194" s="1" t="s">
        <v>305</v>
      </c>
      <c r="H194">
        <v>317</v>
      </c>
      <c r="I194">
        <v>1</v>
      </c>
      <c r="J194">
        <v>0</v>
      </c>
      <c r="K194" s="1" t="s">
        <v>306</v>
      </c>
      <c r="L194">
        <v>317</v>
      </c>
      <c r="M194" s="1" t="s">
        <v>307</v>
      </c>
      <c r="N194">
        <v>1</v>
      </c>
      <c r="O194">
        <v>0.50600000000000001</v>
      </c>
      <c r="P194" s="1" t="s">
        <v>306</v>
      </c>
      <c r="Q194">
        <v>317</v>
      </c>
      <c r="R194" s="1" t="s">
        <v>308</v>
      </c>
      <c r="S194">
        <v>1</v>
      </c>
      <c r="T194">
        <v>0.4</v>
      </c>
      <c r="U194" s="1" t="s">
        <v>306</v>
      </c>
      <c r="V194">
        <v>317</v>
      </c>
      <c r="W194" s="1" t="s">
        <v>309</v>
      </c>
      <c r="X194">
        <v>1</v>
      </c>
      <c r="Y194">
        <v>0.01</v>
      </c>
      <c r="Z194" s="1" t="s">
        <v>306</v>
      </c>
      <c r="AA194">
        <v>317</v>
      </c>
      <c r="AB194" s="1" t="s">
        <v>310</v>
      </c>
      <c r="AC194">
        <v>1</v>
      </c>
      <c r="AD194">
        <v>17.032589999999999</v>
      </c>
      <c r="AE194" s="1" t="s">
        <v>311</v>
      </c>
      <c r="AF194">
        <v>317</v>
      </c>
      <c r="AG194" s="1" t="s">
        <v>312</v>
      </c>
      <c r="AH194">
        <v>1</v>
      </c>
      <c r="AI194">
        <v>8.4000000000000005E-2</v>
      </c>
      <c r="AJ194" s="1" t="s">
        <v>306</v>
      </c>
      <c r="AK194">
        <v>317</v>
      </c>
      <c r="AL194" s="1" t="s">
        <v>313</v>
      </c>
      <c r="AM194">
        <v>1</v>
      </c>
      <c r="AN194">
        <v>0</v>
      </c>
      <c r="AO194" s="1" t="s">
        <v>306</v>
      </c>
      <c r="AP194">
        <v>317</v>
      </c>
      <c r="AQ194" s="1" t="s">
        <v>314</v>
      </c>
      <c r="AR194">
        <v>1</v>
      </c>
      <c r="AS194">
        <v>0.95</v>
      </c>
      <c r="AT194" s="1" t="s">
        <v>306</v>
      </c>
      <c r="AU194">
        <v>317</v>
      </c>
      <c r="AV194" s="1" t="s">
        <v>315</v>
      </c>
      <c r="AW194">
        <v>1</v>
      </c>
      <c r="AX194" t="b">
        <v>0</v>
      </c>
      <c r="AY194" s="1" t="s">
        <v>316</v>
      </c>
      <c r="AZ194">
        <v>317</v>
      </c>
      <c r="BA194" s="1" t="s">
        <v>317</v>
      </c>
    </row>
    <row r="195" spans="1:53" x14ac:dyDescent="0.25">
      <c r="A195">
        <v>94</v>
      </c>
      <c r="B195" s="1" t="s">
        <v>146</v>
      </c>
      <c r="C195">
        <v>307</v>
      </c>
      <c r="D195">
        <v>16.725829999999998</v>
      </c>
      <c r="E195" t="b">
        <v>0</v>
      </c>
      <c r="F195" s="1">
        <v>307</v>
      </c>
      <c r="G195" s="1" t="s">
        <v>305</v>
      </c>
      <c r="H195">
        <v>307</v>
      </c>
      <c r="I195">
        <v>1</v>
      </c>
      <c r="J195">
        <v>2E-3</v>
      </c>
      <c r="K195" s="1" t="s">
        <v>306</v>
      </c>
      <c r="L195">
        <v>307</v>
      </c>
      <c r="M195" s="1" t="s">
        <v>307</v>
      </c>
      <c r="N195">
        <v>1</v>
      </c>
      <c r="O195">
        <v>0.54</v>
      </c>
      <c r="P195" s="1" t="s">
        <v>306</v>
      </c>
      <c r="Q195">
        <v>307</v>
      </c>
      <c r="R195" s="1" t="s">
        <v>308</v>
      </c>
      <c r="S195">
        <v>1</v>
      </c>
      <c r="T195">
        <v>0.36899999999999999</v>
      </c>
      <c r="U195" s="1" t="s">
        <v>306</v>
      </c>
      <c r="V195">
        <v>307</v>
      </c>
      <c r="W195" s="1" t="s">
        <v>309</v>
      </c>
      <c r="X195">
        <v>1</v>
      </c>
      <c r="Y195">
        <v>5.0000000000000001E-3</v>
      </c>
      <c r="Z195" s="1" t="s">
        <v>306</v>
      </c>
      <c r="AA195">
        <v>307</v>
      </c>
      <c r="AB195" s="1" t="s">
        <v>310</v>
      </c>
      <c r="AC195">
        <v>1</v>
      </c>
      <c r="AD195">
        <v>16.725829999999998</v>
      </c>
      <c r="AE195" s="1" t="s">
        <v>311</v>
      </c>
      <c r="AF195">
        <v>307</v>
      </c>
      <c r="AG195" s="1" t="s">
        <v>312</v>
      </c>
      <c r="AH195">
        <v>1</v>
      </c>
      <c r="AI195">
        <v>8.4000000000000005E-2</v>
      </c>
      <c r="AJ195" s="1" t="s">
        <v>306</v>
      </c>
      <c r="AK195">
        <v>307</v>
      </c>
      <c r="AL195" s="1" t="s">
        <v>313</v>
      </c>
      <c r="AM195">
        <v>1</v>
      </c>
      <c r="AN195">
        <v>0</v>
      </c>
      <c r="AO195" s="1" t="s">
        <v>306</v>
      </c>
      <c r="AP195">
        <v>307</v>
      </c>
      <c r="AQ195" s="1" t="s">
        <v>314</v>
      </c>
      <c r="AR195">
        <v>1</v>
      </c>
      <c r="AS195">
        <v>0.95</v>
      </c>
      <c r="AT195" s="1" t="s">
        <v>306</v>
      </c>
      <c r="AU195">
        <v>307</v>
      </c>
      <c r="AV195" s="1" t="s">
        <v>315</v>
      </c>
      <c r="AW195">
        <v>1</v>
      </c>
      <c r="AX195" t="b">
        <v>0</v>
      </c>
      <c r="AY195" s="1" t="s">
        <v>316</v>
      </c>
      <c r="AZ195">
        <v>307</v>
      </c>
      <c r="BA195" s="1" t="s">
        <v>317</v>
      </c>
    </row>
    <row r="196" spans="1:53" x14ac:dyDescent="0.25">
      <c r="A196">
        <v>237</v>
      </c>
      <c r="B196" s="1" t="s">
        <v>288</v>
      </c>
      <c r="C196">
        <v>741</v>
      </c>
      <c r="D196">
        <v>1</v>
      </c>
      <c r="E196" t="b">
        <v>0</v>
      </c>
      <c r="F196" s="1" t="s">
        <v>304</v>
      </c>
      <c r="G196" s="1" t="s">
        <v>305</v>
      </c>
      <c r="H196">
        <v>741</v>
      </c>
      <c r="I196">
        <v>1</v>
      </c>
      <c r="J196">
        <v>0</v>
      </c>
      <c r="K196" s="1" t="s">
        <v>306</v>
      </c>
      <c r="L196">
        <v>741</v>
      </c>
      <c r="M196" s="1" t="s">
        <v>307</v>
      </c>
      <c r="N196">
        <v>1</v>
      </c>
      <c r="P196" s="1" t="s">
        <v>306</v>
      </c>
      <c r="Q196">
        <v>741</v>
      </c>
      <c r="R196" s="1" t="s">
        <v>308</v>
      </c>
      <c r="S196">
        <v>1</v>
      </c>
      <c r="T196">
        <v>0</v>
      </c>
      <c r="U196" s="1" t="s">
        <v>306</v>
      </c>
      <c r="V196">
        <v>741</v>
      </c>
      <c r="W196" s="1" t="s">
        <v>309</v>
      </c>
      <c r="X196">
        <v>1</v>
      </c>
      <c r="Z196" s="1" t="s">
        <v>306</v>
      </c>
      <c r="AA196">
        <v>741</v>
      </c>
      <c r="AB196" s="1" t="s">
        <v>310</v>
      </c>
      <c r="AC196">
        <v>1</v>
      </c>
      <c r="AD196">
        <v>0</v>
      </c>
      <c r="AE196" s="1" t="s">
        <v>311</v>
      </c>
      <c r="AF196">
        <v>741</v>
      </c>
      <c r="AG196" s="1" t="s">
        <v>312</v>
      </c>
      <c r="AH196">
        <v>1</v>
      </c>
      <c r="AI196">
        <v>1</v>
      </c>
      <c r="AJ196" s="1" t="s">
        <v>306</v>
      </c>
      <c r="AK196">
        <v>741</v>
      </c>
      <c r="AL196" s="1" t="s">
        <v>313</v>
      </c>
      <c r="AM196">
        <v>1</v>
      </c>
      <c r="AN196">
        <v>0</v>
      </c>
      <c r="AO196" s="1" t="s">
        <v>306</v>
      </c>
      <c r="AP196">
        <v>741</v>
      </c>
      <c r="AQ196" s="1" t="s">
        <v>314</v>
      </c>
      <c r="AR196">
        <v>1</v>
      </c>
      <c r="AT196" s="1" t="s">
        <v>306</v>
      </c>
      <c r="AU196">
        <v>741</v>
      </c>
      <c r="AV196" s="1" t="s">
        <v>315</v>
      </c>
      <c r="AW196">
        <v>1</v>
      </c>
      <c r="AX196" t="b">
        <v>0</v>
      </c>
      <c r="AY196" s="1" t="s">
        <v>316</v>
      </c>
      <c r="AZ196">
        <v>741</v>
      </c>
      <c r="BA196" s="1" t="s">
        <v>317</v>
      </c>
    </row>
    <row r="197" spans="1:53" x14ac:dyDescent="0.25">
      <c r="A197">
        <v>238</v>
      </c>
      <c r="B197" s="1" t="s">
        <v>289</v>
      </c>
      <c r="C197">
        <v>742</v>
      </c>
      <c r="D197">
        <v>1</v>
      </c>
      <c r="E197" t="b">
        <v>0</v>
      </c>
      <c r="F197" s="1" t="s">
        <v>304</v>
      </c>
      <c r="G197" s="1" t="s">
        <v>305</v>
      </c>
      <c r="H197">
        <v>742</v>
      </c>
      <c r="I197">
        <v>1</v>
      </c>
      <c r="J197">
        <v>0</v>
      </c>
      <c r="K197" s="1" t="s">
        <v>306</v>
      </c>
      <c r="L197">
        <v>742</v>
      </c>
      <c r="M197" s="1" t="s">
        <v>307</v>
      </c>
      <c r="N197">
        <v>1</v>
      </c>
      <c r="P197" s="1" t="s">
        <v>306</v>
      </c>
      <c r="Q197">
        <v>742</v>
      </c>
      <c r="R197" s="1" t="s">
        <v>308</v>
      </c>
      <c r="S197">
        <v>1</v>
      </c>
      <c r="T197">
        <v>0</v>
      </c>
      <c r="U197" s="1" t="s">
        <v>306</v>
      </c>
      <c r="V197">
        <v>742</v>
      </c>
      <c r="W197" s="1" t="s">
        <v>309</v>
      </c>
      <c r="X197">
        <v>1</v>
      </c>
      <c r="Z197" s="1" t="s">
        <v>306</v>
      </c>
      <c r="AA197">
        <v>742</v>
      </c>
      <c r="AB197" s="1" t="s">
        <v>310</v>
      </c>
      <c r="AC197">
        <v>1</v>
      </c>
      <c r="AD197">
        <v>0</v>
      </c>
      <c r="AE197" s="1" t="s">
        <v>311</v>
      </c>
      <c r="AF197">
        <v>742</v>
      </c>
      <c r="AG197" s="1" t="s">
        <v>312</v>
      </c>
      <c r="AH197">
        <v>1</v>
      </c>
      <c r="AI197">
        <v>1</v>
      </c>
      <c r="AJ197" s="1" t="s">
        <v>306</v>
      </c>
      <c r="AK197">
        <v>742</v>
      </c>
      <c r="AL197" s="1" t="s">
        <v>313</v>
      </c>
      <c r="AM197">
        <v>1</v>
      </c>
      <c r="AN197">
        <v>0</v>
      </c>
      <c r="AO197" s="1" t="s">
        <v>306</v>
      </c>
      <c r="AP197">
        <v>742</v>
      </c>
      <c r="AQ197" s="1" t="s">
        <v>314</v>
      </c>
      <c r="AR197">
        <v>1</v>
      </c>
      <c r="AT197" s="1" t="s">
        <v>306</v>
      </c>
      <c r="AU197">
        <v>742</v>
      </c>
      <c r="AV197" s="1" t="s">
        <v>315</v>
      </c>
      <c r="AW197">
        <v>1</v>
      </c>
      <c r="AX197" t="b">
        <v>0</v>
      </c>
      <c r="AY197" s="1" t="s">
        <v>316</v>
      </c>
      <c r="AZ197">
        <v>742</v>
      </c>
      <c r="BA197" s="1" t="s">
        <v>317</v>
      </c>
    </row>
    <row r="198" spans="1:53" x14ac:dyDescent="0.25">
      <c r="A198">
        <v>18</v>
      </c>
      <c r="B198" s="1" t="s">
        <v>70</v>
      </c>
      <c r="C198">
        <v>151</v>
      </c>
      <c r="D198">
        <v>17.71829</v>
      </c>
      <c r="E198" t="b">
        <v>0</v>
      </c>
      <c r="F198" s="1">
        <v>151</v>
      </c>
      <c r="G198" s="1" t="s">
        <v>305</v>
      </c>
      <c r="H198">
        <v>151</v>
      </c>
      <c r="I198">
        <v>1</v>
      </c>
      <c r="J198">
        <v>7.3999999999999996E-2</v>
      </c>
      <c r="K198" s="1" t="s">
        <v>306</v>
      </c>
      <c r="L198">
        <v>151</v>
      </c>
      <c r="M198" s="1" t="s">
        <v>307</v>
      </c>
      <c r="N198">
        <v>1</v>
      </c>
      <c r="O198">
        <v>0.185</v>
      </c>
      <c r="P198" s="1" t="s">
        <v>306</v>
      </c>
      <c r="Q198">
        <v>151</v>
      </c>
      <c r="R198" s="1" t="s">
        <v>308</v>
      </c>
      <c r="S198">
        <v>1</v>
      </c>
      <c r="T198">
        <v>0.495</v>
      </c>
      <c r="U198" s="1" t="s">
        <v>306</v>
      </c>
      <c r="V198">
        <v>151</v>
      </c>
      <c r="W198" s="1" t="s">
        <v>309</v>
      </c>
      <c r="X198">
        <v>1</v>
      </c>
      <c r="Y198">
        <v>3.6999999999999998E-2</v>
      </c>
      <c r="Z198" s="1" t="s">
        <v>306</v>
      </c>
      <c r="AA198">
        <v>151</v>
      </c>
      <c r="AB198" s="1" t="s">
        <v>310</v>
      </c>
      <c r="AC198">
        <v>1</v>
      </c>
      <c r="AD198">
        <v>17.71829</v>
      </c>
      <c r="AE198" s="1" t="s">
        <v>311</v>
      </c>
      <c r="AF198">
        <v>151</v>
      </c>
      <c r="AG198" s="1" t="s">
        <v>312</v>
      </c>
      <c r="AH198">
        <v>1</v>
      </c>
      <c r="AI198">
        <v>7.0999999999999994E-2</v>
      </c>
      <c r="AJ198" s="1" t="s">
        <v>306</v>
      </c>
      <c r="AK198">
        <v>151</v>
      </c>
      <c r="AL198" s="1" t="s">
        <v>313</v>
      </c>
      <c r="AM198">
        <v>1</v>
      </c>
      <c r="AN198">
        <v>0</v>
      </c>
      <c r="AO198" s="1" t="s">
        <v>306</v>
      </c>
      <c r="AP198">
        <v>151</v>
      </c>
      <c r="AQ198" s="1" t="s">
        <v>314</v>
      </c>
      <c r="AR198">
        <v>1</v>
      </c>
      <c r="AS198">
        <v>0.89</v>
      </c>
      <c r="AT198" s="1" t="s">
        <v>306</v>
      </c>
      <c r="AU198">
        <v>151</v>
      </c>
      <c r="AV198" s="1" t="s">
        <v>315</v>
      </c>
      <c r="AW198">
        <v>1</v>
      </c>
      <c r="AX198" t="b">
        <v>0</v>
      </c>
      <c r="AY198" s="1" t="s">
        <v>316</v>
      </c>
      <c r="AZ198">
        <v>151</v>
      </c>
      <c r="BA198" s="1" t="s">
        <v>317</v>
      </c>
    </row>
    <row r="199" spans="1:53" x14ac:dyDescent="0.25">
      <c r="A199">
        <v>20</v>
      </c>
      <c r="B199" s="1" t="s">
        <v>72</v>
      </c>
      <c r="C199">
        <v>155</v>
      </c>
      <c r="D199">
        <v>17.8522</v>
      </c>
      <c r="E199" t="b">
        <v>0</v>
      </c>
      <c r="F199" s="1">
        <v>155</v>
      </c>
      <c r="G199" s="1" t="s">
        <v>305</v>
      </c>
      <c r="H199">
        <v>155</v>
      </c>
      <c r="I199">
        <v>1</v>
      </c>
      <c r="J199">
        <v>7.1999999999999995E-2</v>
      </c>
      <c r="K199" s="1" t="s">
        <v>306</v>
      </c>
      <c r="L199">
        <v>155</v>
      </c>
      <c r="M199" s="1" t="s">
        <v>307</v>
      </c>
      <c r="N199">
        <v>1</v>
      </c>
      <c r="O199">
        <v>0.183</v>
      </c>
      <c r="P199" s="1" t="s">
        <v>306</v>
      </c>
      <c r="Q199">
        <v>155</v>
      </c>
      <c r="R199" s="1" t="s">
        <v>308</v>
      </c>
      <c r="S199">
        <v>1</v>
      </c>
      <c r="T199">
        <v>0.49142799999999998</v>
      </c>
      <c r="U199" s="1" t="s">
        <v>306</v>
      </c>
      <c r="V199">
        <v>155</v>
      </c>
      <c r="W199" s="1" t="s">
        <v>309</v>
      </c>
      <c r="X199">
        <v>1</v>
      </c>
      <c r="Y199">
        <v>3.2000000000000001E-2</v>
      </c>
      <c r="Z199" s="1" t="s">
        <v>306</v>
      </c>
      <c r="AA199">
        <v>155</v>
      </c>
      <c r="AB199" s="1" t="s">
        <v>310</v>
      </c>
      <c r="AC199">
        <v>1</v>
      </c>
      <c r="AD199">
        <v>17.8522</v>
      </c>
      <c r="AE199" s="1" t="s">
        <v>311</v>
      </c>
      <c r="AF199">
        <v>155</v>
      </c>
      <c r="AG199" s="1" t="s">
        <v>312</v>
      </c>
      <c r="AH199">
        <v>1</v>
      </c>
      <c r="AI199">
        <v>7.4286000000000005E-2</v>
      </c>
      <c r="AJ199" s="1" t="s">
        <v>306</v>
      </c>
      <c r="AK199">
        <v>155</v>
      </c>
      <c r="AL199" s="1" t="s">
        <v>313</v>
      </c>
      <c r="AM199">
        <v>1</v>
      </c>
      <c r="AN199">
        <v>0</v>
      </c>
      <c r="AO199" s="1" t="s">
        <v>306</v>
      </c>
      <c r="AP199">
        <v>155</v>
      </c>
      <c r="AQ199" s="1" t="s">
        <v>314</v>
      </c>
      <c r="AR199">
        <v>1</v>
      </c>
      <c r="AS199">
        <v>0.90800000000000003</v>
      </c>
      <c r="AT199" s="1" t="s">
        <v>306</v>
      </c>
      <c r="AU199">
        <v>155</v>
      </c>
      <c r="AV199" s="1" t="s">
        <v>315</v>
      </c>
      <c r="AW199">
        <v>1</v>
      </c>
      <c r="AX199" t="b">
        <v>0</v>
      </c>
      <c r="AY199" s="1" t="s">
        <v>316</v>
      </c>
      <c r="AZ199">
        <v>155</v>
      </c>
      <c r="BA199" s="1" t="s">
        <v>317</v>
      </c>
    </row>
    <row r="200" spans="1:53" x14ac:dyDescent="0.25">
      <c r="A200">
        <v>19</v>
      </c>
      <c r="B200" s="1" t="s">
        <v>71</v>
      </c>
      <c r="C200">
        <v>154</v>
      </c>
      <c r="D200">
        <v>18.163599999999999</v>
      </c>
      <c r="E200" t="b">
        <v>0</v>
      </c>
      <c r="F200" s="1">
        <v>154</v>
      </c>
      <c r="G200" s="1" t="s">
        <v>305</v>
      </c>
      <c r="H200">
        <v>154</v>
      </c>
      <c r="I200">
        <v>1</v>
      </c>
      <c r="J200">
        <v>4.8000000000000001E-2</v>
      </c>
      <c r="K200" s="1" t="s">
        <v>306</v>
      </c>
      <c r="L200">
        <v>154</v>
      </c>
      <c r="M200" s="1" t="s">
        <v>307</v>
      </c>
      <c r="N200">
        <v>1</v>
      </c>
      <c r="O200">
        <v>0.17014285000000001</v>
      </c>
      <c r="P200" s="1" t="s">
        <v>306</v>
      </c>
      <c r="Q200">
        <v>154</v>
      </c>
      <c r="R200" s="1" t="s">
        <v>308</v>
      </c>
      <c r="S200">
        <v>1</v>
      </c>
      <c r="T200">
        <v>0.53714280000000003</v>
      </c>
      <c r="U200" s="1" t="s">
        <v>306</v>
      </c>
      <c r="V200">
        <v>154</v>
      </c>
      <c r="W200" s="1" t="s">
        <v>309</v>
      </c>
      <c r="X200">
        <v>1</v>
      </c>
      <c r="Y200">
        <v>2.857142E-2</v>
      </c>
      <c r="Z200" s="1" t="s">
        <v>306</v>
      </c>
      <c r="AA200">
        <v>154</v>
      </c>
      <c r="AB200" s="1" t="s">
        <v>310</v>
      </c>
      <c r="AC200">
        <v>1</v>
      </c>
      <c r="AD200">
        <v>18.163599999999999</v>
      </c>
      <c r="AE200" s="1" t="s">
        <v>311</v>
      </c>
      <c r="AF200">
        <v>154</v>
      </c>
      <c r="AG200" s="1" t="s">
        <v>312</v>
      </c>
      <c r="AH200">
        <v>1</v>
      </c>
      <c r="AI200">
        <v>6.9713999999999998E-2</v>
      </c>
      <c r="AJ200" s="1" t="s">
        <v>306</v>
      </c>
      <c r="AK200">
        <v>154</v>
      </c>
      <c r="AL200" s="1" t="s">
        <v>313</v>
      </c>
      <c r="AM200">
        <v>1</v>
      </c>
      <c r="AN200">
        <v>0</v>
      </c>
      <c r="AO200" s="1" t="s">
        <v>306</v>
      </c>
      <c r="AP200">
        <v>154</v>
      </c>
      <c r="AQ200" s="1" t="s">
        <v>314</v>
      </c>
      <c r="AR200">
        <v>1</v>
      </c>
      <c r="AS200">
        <v>0.90800000000000003</v>
      </c>
      <c r="AT200" s="1" t="s">
        <v>306</v>
      </c>
      <c r="AU200">
        <v>154</v>
      </c>
      <c r="AV200" s="1" t="s">
        <v>315</v>
      </c>
      <c r="AW200">
        <v>1</v>
      </c>
      <c r="AX200" t="b">
        <v>0</v>
      </c>
      <c r="AY200" s="1" t="s">
        <v>316</v>
      </c>
      <c r="AZ200">
        <v>154</v>
      </c>
      <c r="BA200" s="1" t="s">
        <v>317</v>
      </c>
    </row>
    <row r="201" spans="1:53" x14ac:dyDescent="0.25">
      <c r="A201">
        <v>82</v>
      </c>
      <c r="B201" s="1" t="s">
        <v>134</v>
      </c>
      <c r="C201">
        <v>290</v>
      </c>
      <c r="D201">
        <v>15.235799999999999</v>
      </c>
      <c r="E201" t="b">
        <v>0</v>
      </c>
      <c r="F201" s="1">
        <v>290</v>
      </c>
      <c r="G201" s="1" t="s">
        <v>305</v>
      </c>
      <c r="H201">
        <v>290</v>
      </c>
      <c r="I201">
        <v>1</v>
      </c>
      <c r="J201">
        <v>0.38857140000000001</v>
      </c>
      <c r="K201" s="1" t="s">
        <v>306</v>
      </c>
      <c r="L201">
        <v>290</v>
      </c>
      <c r="M201" s="1" t="s">
        <v>307</v>
      </c>
      <c r="N201">
        <v>1</v>
      </c>
      <c r="O201">
        <v>2.5999999999999999E-2</v>
      </c>
      <c r="P201" s="1" t="s">
        <v>306</v>
      </c>
      <c r="Q201">
        <v>290</v>
      </c>
      <c r="R201" s="1" t="s">
        <v>308</v>
      </c>
      <c r="S201">
        <v>1</v>
      </c>
      <c r="T201">
        <v>0.1257142</v>
      </c>
      <c r="U201" s="1" t="s">
        <v>306</v>
      </c>
      <c r="V201">
        <v>290</v>
      </c>
      <c r="W201" s="1" t="s">
        <v>309</v>
      </c>
      <c r="X201">
        <v>1</v>
      </c>
      <c r="Y201">
        <v>2.857142E-2</v>
      </c>
      <c r="Z201" s="1" t="s">
        <v>306</v>
      </c>
      <c r="AA201">
        <v>290</v>
      </c>
      <c r="AB201" s="1" t="s">
        <v>310</v>
      </c>
      <c r="AC201">
        <v>1</v>
      </c>
      <c r="AD201">
        <v>15.235799999999999</v>
      </c>
      <c r="AE201" s="1" t="s">
        <v>311</v>
      </c>
      <c r="AF201">
        <v>290</v>
      </c>
      <c r="AG201" s="1" t="s">
        <v>312</v>
      </c>
      <c r="AH201">
        <v>1</v>
      </c>
      <c r="AI201">
        <v>5.4857000000000003E-2</v>
      </c>
      <c r="AJ201" s="1" t="s">
        <v>306</v>
      </c>
      <c r="AK201">
        <v>290</v>
      </c>
      <c r="AL201" s="1" t="s">
        <v>313</v>
      </c>
      <c r="AM201">
        <v>1</v>
      </c>
      <c r="AN201">
        <v>0</v>
      </c>
      <c r="AO201" s="1" t="s">
        <v>306</v>
      </c>
      <c r="AP201">
        <v>290</v>
      </c>
      <c r="AQ201" s="1" t="s">
        <v>314</v>
      </c>
      <c r="AR201">
        <v>1</v>
      </c>
      <c r="AS201">
        <v>0.877</v>
      </c>
      <c r="AT201" s="1" t="s">
        <v>306</v>
      </c>
      <c r="AU201">
        <v>290</v>
      </c>
      <c r="AV201" s="1" t="s">
        <v>315</v>
      </c>
      <c r="AW201">
        <v>1</v>
      </c>
      <c r="AX201" t="b">
        <v>0</v>
      </c>
      <c r="AY201" s="1" t="s">
        <v>316</v>
      </c>
      <c r="AZ201">
        <v>290</v>
      </c>
      <c r="BA201" s="1" t="s">
        <v>317</v>
      </c>
    </row>
    <row r="202" spans="1:53" x14ac:dyDescent="0.25">
      <c r="A202">
        <v>39</v>
      </c>
      <c r="B202" s="1" t="s">
        <v>91</v>
      </c>
      <c r="C202">
        <v>214</v>
      </c>
      <c r="D202">
        <v>18.53051</v>
      </c>
      <c r="E202" t="b">
        <v>0</v>
      </c>
      <c r="F202" s="1">
        <v>214</v>
      </c>
      <c r="G202" s="1" t="s">
        <v>305</v>
      </c>
      <c r="H202">
        <v>214</v>
      </c>
      <c r="I202">
        <v>1</v>
      </c>
      <c r="J202">
        <v>5.8000000000000003E-2</v>
      </c>
      <c r="K202" s="1" t="s">
        <v>306</v>
      </c>
      <c r="L202">
        <v>214</v>
      </c>
      <c r="M202" s="1" t="s">
        <v>307</v>
      </c>
      <c r="N202">
        <v>1</v>
      </c>
      <c r="O202">
        <v>0.10517240999999999</v>
      </c>
      <c r="P202" s="1" t="s">
        <v>306</v>
      </c>
      <c r="Q202">
        <v>214</v>
      </c>
      <c r="R202" s="1" t="s">
        <v>308</v>
      </c>
      <c r="S202">
        <v>1</v>
      </c>
      <c r="T202">
        <v>0.40799999999999997</v>
      </c>
      <c r="U202" s="1" t="s">
        <v>306</v>
      </c>
      <c r="V202">
        <v>214</v>
      </c>
      <c r="W202" s="1" t="s">
        <v>309</v>
      </c>
      <c r="X202">
        <v>1</v>
      </c>
      <c r="Y202">
        <v>0.20799999999999999</v>
      </c>
      <c r="Z202" s="1" t="s">
        <v>306</v>
      </c>
      <c r="AA202">
        <v>214</v>
      </c>
      <c r="AB202" s="1" t="s">
        <v>310</v>
      </c>
      <c r="AC202">
        <v>1</v>
      </c>
      <c r="AD202">
        <v>18.53051</v>
      </c>
      <c r="AE202" s="1" t="s">
        <v>311</v>
      </c>
      <c r="AF202">
        <v>214</v>
      </c>
      <c r="AG202" s="1" t="s">
        <v>312</v>
      </c>
      <c r="AH202">
        <v>1</v>
      </c>
      <c r="AI202">
        <v>5.5E-2</v>
      </c>
      <c r="AJ202" s="1" t="s">
        <v>306</v>
      </c>
      <c r="AK202">
        <v>214</v>
      </c>
      <c r="AL202" s="1" t="s">
        <v>313</v>
      </c>
      <c r="AM202">
        <v>1</v>
      </c>
      <c r="AN202">
        <v>0</v>
      </c>
      <c r="AO202" s="1" t="s">
        <v>306</v>
      </c>
      <c r="AP202">
        <v>214</v>
      </c>
      <c r="AQ202" s="1" t="s">
        <v>314</v>
      </c>
      <c r="AR202">
        <v>1</v>
      </c>
      <c r="AS202">
        <v>0.79008999999999996</v>
      </c>
      <c r="AT202" s="1" t="s">
        <v>306</v>
      </c>
      <c r="AU202">
        <v>214</v>
      </c>
      <c r="AV202" s="1" t="s">
        <v>315</v>
      </c>
      <c r="AW202">
        <v>1</v>
      </c>
      <c r="AX202" t="b">
        <v>0</v>
      </c>
      <c r="AY202" s="1" t="s">
        <v>316</v>
      </c>
      <c r="AZ202">
        <v>214</v>
      </c>
      <c r="BA202" s="1" t="s">
        <v>317</v>
      </c>
    </row>
    <row r="203" spans="1:53" x14ac:dyDescent="0.25">
      <c r="A203">
        <v>28</v>
      </c>
      <c r="B203" s="1" t="s">
        <v>80</v>
      </c>
      <c r="C203">
        <v>201</v>
      </c>
      <c r="D203">
        <v>15.19205</v>
      </c>
      <c r="E203" t="b">
        <v>1</v>
      </c>
      <c r="F203" s="1">
        <v>201</v>
      </c>
      <c r="G203" s="1" t="s">
        <v>305</v>
      </c>
      <c r="H203">
        <v>201</v>
      </c>
      <c r="I203">
        <v>1</v>
      </c>
      <c r="J203">
        <v>5.2941170000000003E-2</v>
      </c>
      <c r="K203" s="1" t="s">
        <v>306</v>
      </c>
      <c r="L203">
        <v>201</v>
      </c>
      <c r="M203" s="1" t="s">
        <v>307</v>
      </c>
      <c r="N203">
        <v>1</v>
      </c>
      <c r="O203">
        <v>0.62941170000000002</v>
      </c>
      <c r="P203" s="1" t="s">
        <v>306</v>
      </c>
      <c r="Q203">
        <v>201</v>
      </c>
      <c r="R203" s="1" t="s">
        <v>308</v>
      </c>
      <c r="S203">
        <v>1</v>
      </c>
      <c r="T203">
        <v>0.1082</v>
      </c>
      <c r="U203" s="1" t="s">
        <v>306</v>
      </c>
      <c r="V203">
        <v>201</v>
      </c>
      <c r="W203" s="1" t="s">
        <v>309</v>
      </c>
      <c r="X203">
        <v>1</v>
      </c>
      <c r="Y203">
        <v>3.0599999999999999E-2</v>
      </c>
      <c r="Z203" s="1" t="s">
        <v>306</v>
      </c>
      <c r="AA203">
        <v>201</v>
      </c>
      <c r="AB203" s="1" t="s">
        <v>310</v>
      </c>
      <c r="AC203">
        <v>1</v>
      </c>
      <c r="AD203">
        <v>15.19205</v>
      </c>
      <c r="AE203" s="1" t="s">
        <v>311</v>
      </c>
      <c r="AF203">
        <v>201</v>
      </c>
      <c r="AG203" s="1" t="s">
        <v>312</v>
      </c>
      <c r="AH203">
        <v>1</v>
      </c>
      <c r="AI203">
        <v>2.2353000000000001E-2</v>
      </c>
      <c r="AJ203" s="1" t="s">
        <v>306</v>
      </c>
      <c r="AK203">
        <v>201</v>
      </c>
      <c r="AL203" s="1" t="s">
        <v>313</v>
      </c>
      <c r="AM203">
        <v>1</v>
      </c>
      <c r="AN203">
        <v>0</v>
      </c>
      <c r="AO203" s="1" t="s">
        <v>306</v>
      </c>
      <c r="AP203">
        <v>201</v>
      </c>
      <c r="AQ203" s="1" t="s">
        <v>314</v>
      </c>
      <c r="AR203">
        <v>1</v>
      </c>
      <c r="AS203">
        <v>0.85</v>
      </c>
      <c r="AT203" s="1" t="s">
        <v>306</v>
      </c>
      <c r="AU203">
        <v>201</v>
      </c>
      <c r="AV203" s="1" t="s">
        <v>315</v>
      </c>
      <c r="AW203">
        <v>1</v>
      </c>
      <c r="AX203" t="b">
        <v>0</v>
      </c>
      <c r="AY203" s="1" t="s">
        <v>316</v>
      </c>
      <c r="AZ203">
        <v>201</v>
      </c>
      <c r="BA203" s="1" t="s">
        <v>317</v>
      </c>
    </row>
    <row r="204" spans="1:53" x14ac:dyDescent="0.25">
      <c r="A204">
        <v>241</v>
      </c>
      <c r="B204" s="1" t="s">
        <v>292</v>
      </c>
      <c r="C204">
        <v>781</v>
      </c>
      <c r="D204">
        <v>1</v>
      </c>
      <c r="E204" t="b">
        <v>0</v>
      </c>
      <c r="F204" s="1" t="s">
        <v>304</v>
      </c>
      <c r="G204" s="1" t="s">
        <v>305</v>
      </c>
      <c r="H204">
        <v>781</v>
      </c>
      <c r="I204">
        <v>1</v>
      </c>
      <c r="J204">
        <v>0.45200000000000001</v>
      </c>
      <c r="K204" s="1" t="s">
        <v>306</v>
      </c>
      <c r="L204">
        <v>781</v>
      </c>
      <c r="M204" s="1" t="s">
        <v>307</v>
      </c>
      <c r="N204">
        <v>1</v>
      </c>
      <c r="O204">
        <v>0</v>
      </c>
      <c r="P204" s="1" t="s">
        <v>306</v>
      </c>
      <c r="Q204">
        <v>781</v>
      </c>
      <c r="R204" s="1" t="s">
        <v>308</v>
      </c>
      <c r="S204">
        <v>1</v>
      </c>
      <c r="T204">
        <v>0.04</v>
      </c>
      <c r="U204" s="1" t="s">
        <v>306</v>
      </c>
      <c r="V204">
        <v>781</v>
      </c>
      <c r="W204" s="1" t="s">
        <v>309</v>
      </c>
      <c r="X204">
        <v>1</v>
      </c>
      <c r="Y204">
        <v>1.9E-2</v>
      </c>
      <c r="Z204" s="1" t="s">
        <v>306</v>
      </c>
      <c r="AA204">
        <v>781</v>
      </c>
      <c r="AB204" s="1" t="s">
        <v>310</v>
      </c>
      <c r="AC204">
        <v>1</v>
      </c>
      <c r="AD204">
        <v>7.6231850000000003</v>
      </c>
      <c r="AE204" s="1" t="s">
        <v>311</v>
      </c>
      <c r="AF204">
        <v>781</v>
      </c>
      <c r="AG204" s="1" t="s">
        <v>312</v>
      </c>
      <c r="AH204">
        <v>1</v>
      </c>
      <c r="AI204">
        <v>4.4999999999999998E-2</v>
      </c>
      <c r="AJ204" s="1" t="s">
        <v>306</v>
      </c>
      <c r="AK204">
        <v>781</v>
      </c>
      <c r="AL204" s="1" t="s">
        <v>313</v>
      </c>
      <c r="AM204">
        <v>1</v>
      </c>
      <c r="AN204">
        <v>0</v>
      </c>
      <c r="AO204" s="1" t="s">
        <v>306</v>
      </c>
      <c r="AP204">
        <v>781</v>
      </c>
      <c r="AQ204" s="1" t="s">
        <v>314</v>
      </c>
      <c r="AR204">
        <v>1</v>
      </c>
      <c r="AS204">
        <v>0.45</v>
      </c>
      <c r="AT204" s="1" t="s">
        <v>306</v>
      </c>
      <c r="AU204">
        <v>781</v>
      </c>
      <c r="AV204" s="1" t="s">
        <v>315</v>
      </c>
      <c r="AW204">
        <v>1</v>
      </c>
      <c r="AX204" t="b">
        <v>1</v>
      </c>
      <c r="AY204" s="1" t="s">
        <v>316</v>
      </c>
      <c r="AZ204">
        <v>781</v>
      </c>
      <c r="BA204" s="1" t="s">
        <v>317</v>
      </c>
    </row>
    <row r="205" spans="1:53" x14ac:dyDescent="0.25">
      <c r="A205">
        <v>110</v>
      </c>
      <c r="B205" s="1" t="s">
        <v>162</v>
      </c>
      <c r="C205">
        <v>361</v>
      </c>
      <c r="D205">
        <v>1</v>
      </c>
      <c r="E205" t="b">
        <v>1</v>
      </c>
      <c r="F205" s="1" t="s">
        <v>304</v>
      </c>
      <c r="G205" s="1" t="s">
        <v>305</v>
      </c>
      <c r="H205">
        <v>361</v>
      </c>
      <c r="I205">
        <v>1</v>
      </c>
      <c r="J205">
        <v>5.1999999999999998E-2</v>
      </c>
      <c r="K205" s="1" t="s">
        <v>306</v>
      </c>
      <c r="L205">
        <v>361</v>
      </c>
      <c r="M205" s="1" t="s">
        <v>307</v>
      </c>
      <c r="N205">
        <v>1</v>
      </c>
      <c r="O205">
        <v>0.69399999999999995</v>
      </c>
      <c r="P205" s="1" t="s">
        <v>306</v>
      </c>
      <c r="Q205">
        <v>361</v>
      </c>
      <c r="R205" s="1" t="s">
        <v>308</v>
      </c>
      <c r="S205">
        <v>1</v>
      </c>
      <c r="T205">
        <v>5.8999999999999997E-2</v>
      </c>
      <c r="U205" s="1" t="s">
        <v>306</v>
      </c>
      <c r="V205">
        <v>361</v>
      </c>
      <c r="W205" s="1" t="s">
        <v>309</v>
      </c>
      <c r="X205">
        <v>1</v>
      </c>
      <c r="Y205">
        <v>3.3999999999999998E-3</v>
      </c>
      <c r="Z205" s="1" t="s">
        <v>306</v>
      </c>
      <c r="AA205">
        <v>361</v>
      </c>
      <c r="AB205" s="1" t="s">
        <v>310</v>
      </c>
      <c r="AC205">
        <v>1</v>
      </c>
      <c r="AD205">
        <v>13.852040000000001</v>
      </c>
      <c r="AE205" s="1" t="s">
        <v>311</v>
      </c>
      <c r="AF205">
        <v>361</v>
      </c>
      <c r="AG205" s="1" t="s">
        <v>312</v>
      </c>
      <c r="AH205">
        <v>1</v>
      </c>
      <c r="AI205">
        <v>0.08</v>
      </c>
      <c r="AJ205" s="1" t="s">
        <v>306</v>
      </c>
      <c r="AK205">
        <v>361</v>
      </c>
      <c r="AL205" s="1" t="s">
        <v>313</v>
      </c>
      <c r="AM205">
        <v>1</v>
      </c>
      <c r="AN205">
        <v>0</v>
      </c>
      <c r="AO205" s="1" t="s">
        <v>306</v>
      </c>
      <c r="AP205">
        <v>361</v>
      </c>
      <c r="AQ205" s="1" t="s">
        <v>314</v>
      </c>
      <c r="AR205">
        <v>1</v>
      </c>
      <c r="AS205">
        <v>0.9</v>
      </c>
      <c r="AT205" s="1" t="s">
        <v>306</v>
      </c>
      <c r="AU205">
        <v>361</v>
      </c>
      <c r="AV205" s="1" t="s">
        <v>315</v>
      </c>
      <c r="AW205">
        <v>1</v>
      </c>
      <c r="AX205" t="b">
        <v>0</v>
      </c>
      <c r="AY205" s="1" t="s">
        <v>316</v>
      </c>
      <c r="AZ205">
        <v>361</v>
      </c>
      <c r="BA205" s="1" t="s">
        <v>317</v>
      </c>
    </row>
    <row r="206" spans="1:53" x14ac:dyDescent="0.25">
      <c r="A206">
        <v>81</v>
      </c>
      <c r="B206" s="1" t="s">
        <v>133</v>
      </c>
      <c r="C206">
        <v>289</v>
      </c>
      <c r="D206">
        <v>13.915089999999999</v>
      </c>
      <c r="E206" t="b">
        <v>1</v>
      </c>
      <c r="F206" s="1">
        <v>289</v>
      </c>
      <c r="G206" s="1" t="s">
        <v>305</v>
      </c>
      <c r="H206">
        <v>289</v>
      </c>
      <c r="I206">
        <v>1</v>
      </c>
      <c r="J206">
        <v>6.5000000000000002E-2</v>
      </c>
      <c r="K206" s="1" t="s">
        <v>306</v>
      </c>
      <c r="L206">
        <v>289</v>
      </c>
      <c r="M206" s="1" t="s">
        <v>307</v>
      </c>
      <c r="N206">
        <v>1</v>
      </c>
      <c r="O206">
        <v>0.69699999999999995</v>
      </c>
      <c r="P206" s="1" t="s">
        <v>306</v>
      </c>
      <c r="Q206">
        <v>289</v>
      </c>
      <c r="R206" s="1" t="s">
        <v>308</v>
      </c>
      <c r="S206">
        <v>1</v>
      </c>
      <c r="T206">
        <v>5.8000000000000003E-2</v>
      </c>
      <c r="U206" s="1" t="s">
        <v>306</v>
      </c>
      <c r="V206">
        <v>289</v>
      </c>
      <c r="W206" s="1" t="s">
        <v>309</v>
      </c>
      <c r="X206">
        <v>1</v>
      </c>
      <c r="Y206">
        <v>3.3999999999999998E-3</v>
      </c>
      <c r="Z206" s="1" t="s">
        <v>306</v>
      </c>
      <c r="AA206">
        <v>289</v>
      </c>
      <c r="AB206" s="1" t="s">
        <v>310</v>
      </c>
      <c r="AC206">
        <v>1</v>
      </c>
      <c r="AD206">
        <v>13.915089999999999</v>
      </c>
      <c r="AE206" s="1" t="s">
        <v>311</v>
      </c>
      <c r="AF206">
        <v>289</v>
      </c>
      <c r="AG206" s="1" t="s">
        <v>312</v>
      </c>
      <c r="AH206">
        <v>1</v>
      </c>
      <c r="AI206">
        <v>6.5000000000000002E-2</v>
      </c>
      <c r="AJ206" s="1" t="s">
        <v>306</v>
      </c>
      <c r="AK206">
        <v>289</v>
      </c>
      <c r="AL206" s="1" t="s">
        <v>313</v>
      </c>
      <c r="AM206">
        <v>1</v>
      </c>
      <c r="AN206">
        <v>0</v>
      </c>
      <c r="AO206" s="1" t="s">
        <v>306</v>
      </c>
      <c r="AP206">
        <v>289</v>
      </c>
      <c r="AQ206" s="1" t="s">
        <v>314</v>
      </c>
      <c r="AR206">
        <v>1</v>
      </c>
      <c r="AS206">
        <v>0.89</v>
      </c>
      <c r="AT206" s="1" t="s">
        <v>306</v>
      </c>
      <c r="AU206">
        <v>289</v>
      </c>
      <c r="AV206" s="1" t="s">
        <v>315</v>
      </c>
      <c r="AW206">
        <v>1</v>
      </c>
      <c r="AX206" t="b">
        <v>0</v>
      </c>
      <c r="AY206" s="1" t="s">
        <v>316</v>
      </c>
      <c r="AZ206">
        <v>289</v>
      </c>
      <c r="BA206" s="1" t="s">
        <v>317</v>
      </c>
    </row>
    <row r="207" spans="1:53" x14ac:dyDescent="0.25">
      <c r="A207">
        <v>42</v>
      </c>
      <c r="B207" s="1" t="s">
        <v>94</v>
      </c>
      <c r="C207">
        <v>217</v>
      </c>
      <c r="D207">
        <v>17.610510000000001</v>
      </c>
      <c r="E207" t="b">
        <v>0</v>
      </c>
      <c r="F207" s="1">
        <v>217</v>
      </c>
      <c r="G207" s="1" t="s">
        <v>305</v>
      </c>
      <c r="H207">
        <v>217</v>
      </c>
      <c r="I207">
        <v>1</v>
      </c>
      <c r="J207">
        <v>0.25</v>
      </c>
      <c r="K207" s="1" t="s">
        <v>306</v>
      </c>
      <c r="L207">
        <v>217</v>
      </c>
      <c r="M207" s="1" t="s">
        <v>307</v>
      </c>
      <c r="N207">
        <v>1</v>
      </c>
      <c r="O207">
        <v>3.7999999999999999E-2</v>
      </c>
      <c r="P207" s="1" t="s">
        <v>306</v>
      </c>
      <c r="Q207">
        <v>217</v>
      </c>
      <c r="R207" s="1" t="s">
        <v>308</v>
      </c>
      <c r="S207">
        <v>1</v>
      </c>
      <c r="T207">
        <v>0.184</v>
      </c>
      <c r="U207" s="1" t="s">
        <v>306</v>
      </c>
      <c r="V207">
        <v>217</v>
      </c>
      <c r="W207" s="1" t="s">
        <v>309</v>
      </c>
      <c r="X207">
        <v>1</v>
      </c>
      <c r="Y207">
        <v>0.36399999999999999</v>
      </c>
      <c r="Z207" s="1" t="s">
        <v>306</v>
      </c>
      <c r="AA207">
        <v>217</v>
      </c>
      <c r="AB207" s="1" t="s">
        <v>310</v>
      </c>
      <c r="AC207">
        <v>1</v>
      </c>
      <c r="AD207">
        <v>17.610510000000001</v>
      </c>
      <c r="AE207" s="1" t="s">
        <v>311</v>
      </c>
      <c r="AF207">
        <v>217</v>
      </c>
      <c r="AG207" s="1" t="s">
        <v>312</v>
      </c>
      <c r="AH207">
        <v>1</v>
      </c>
      <c r="AI207">
        <v>3.5000000000000003E-2</v>
      </c>
      <c r="AJ207" s="1" t="s">
        <v>306</v>
      </c>
      <c r="AK207">
        <v>217</v>
      </c>
      <c r="AL207" s="1" t="s">
        <v>313</v>
      </c>
      <c r="AM207">
        <v>1</v>
      </c>
      <c r="AN207">
        <v>0</v>
      </c>
      <c r="AO207" s="1" t="s">
        <v>306</v>
      </c>
      <c r="AP207">
        <v>217</v>
      </c>
      <c r="AQ207" s="1" t="s">
        <v>314</v>
      </c>
      <c r="AR207">
        <v>1</v>
      </c>
      <c r="AS207">
        <v>0.65432000000000001</v>
      </c>
      <c r="AT207" s="1" t="s">
        <v>306</v>
      </c>
      <c r="AU207">
        <v>217</v>
      </c>
      <c r="AV207" s="1" t="s">
        <v>315</v>
      </c>
      <c r="AW207">
        <v>1</v>
      </c>
      <c r="AX207" t="b">
        <v>0</v>
      </c>
      <c r="AY207" s="1" t="s">
        <v>316</v>
      </c>
      <c r="AZ207">
        <v>217</v>
      </c>
      <c r="BA207" s="1" t="s">
        <v>317</v>
      </c>
    </row>
    <row r="208" spans="1:53" x14ac:dyDescent="0.25">
      <c r="A208">
        <v>21</v>
      </c>
      <c r="B208" s="1" t="s">
        <v>73</v>
      </c>
      <c r="C208">
        <v>161</v>
      </c>
      <c r="D208">
        <v>16.818149999999999</v>
      </c>
      <c r="E208" t="b">
        <v>0</v>
      </c>
      <c r="F208" s="1">
        <v>161</v>
      </c>
      <c r="G208" s="1" t="s">
        <v>305</v>
      </c>
      <c r="H208">
        <v>161</v>
      </c>
      <c r="I208">
        <v>1</v>
      </c>
      <c r="J208">
        <v>0.16315779999999999</v>
      </c>
      <c r="K208" s="1" t="s">
        <v>306</v>
      </c>
      <c r="L208">
        <v>161</v>
      </c>
      <c r="M208" s="1" t="s">
        <v>307</v>
      </c>
      <c r="N208">
        <v>1</v>
      </c>
      <c r="O208">
        <v>0.111</v>
      </c>
      <c r="P208" s="1" t="s">
        <v>306</v>
      </c>
      <c r="Q208">
        <v>161</v>
      </c>
      <c r="R208" s="1" t="s">
        <v>308</v>
      </c>
      <c r="S208">
        <v>1</v>
      </c>
      <c r="T208">
        <v>0.37894729999999999</v>
      </c>
      <c r="U208" s="1" t="s">
        <v>306</v>
      </c>
      <c r="V208">
        <v>161</v>
      </c>
      <c r="W208" s="1" t="s">
        <v>309</v>
      </c>
      <c r="X208">
        <v>1</v>
      </c>
      <c r="Y208">
        <v>0.1315789</v>
      </c>
      <c r="Z208" s="1" t="s">
        <v>306</v>
      </c>
      <c r="AA208">
        <v>161</v>
      </c>
      <c r="AB208" s="1" t="s">
        <v>310</v>
      </c>
      <c r="AC208">
        <v>1</v>
      </c>
      <c r="AD208">
        <v>16.818149999999999</v>
      </c>
      <c r="AE208" s="1" t="s">
        <v>311</v>
      </c>
      <c r="AF208">
        <v>161</v>
      </c>
      <c r="AG208" s="1" t="s">
        <v>312</v>
      </c>
      <c r="AH208">
        <v>1</v>
      </c>
      <c r="AI208">
        <v>6.3157000000000005E-2</v>
      </c>
      <c r="AJ208" s="1" t="s">
        <v>306</v>
      </c>
      <c r="AK208">
        <v>161</v>
      </c>
      <c r="AL208" s="1" t="s">
        <v>313</v>
      </c>
      <c r="AM208">
        <v>1</v>
      </c>
      <c r="AN208">
        <v>0</v>
      </c>
      <c r="AO208" s="1" t="s">
        <v>306</v>
      </c>
      <c r="AP208">
        <v>161</v>
      </c>
      <c r="AQ208" s="1" t="s">
        <v>314</v>
      </c>
      <c r="AR208">
        <v>1</v>
      </c>
      <c r="AS208">
        <v>0.77900000000000003</v>
      </c>
      <c r="AT208" s="1" t="s">
        <v>306</v>
      </c>
      <c r="AU208">
        <v>161</v>
      </c>
      <c r="AV208" s="1" t="s">
        <v>315</v>
      </c>
      <c r="AW208">
        <v>1</v>
      </c>
      <c r="AX208" t="b">
        <v>0</v>
      </c>
      <c r="AY208" s="1" t="s">
        <v>316</v>
      </c>
      <c r="AZ208">
        <v>161</v>
      </c>
      <c r="BA208" s="1" t="s">
        <v>317</v>
      </c>
    </row>
    <row r="209" spans="1:53" x14ac:dyDescent="0.25">
      <c r="A209">
        <v>22</v>
      </c>
      <c r="B209" s="1" t="s">
        <v>74</v>
      </c>
      <c r="C209">
        <v>162</v>
      </c>
      <c r="D209">
        <v>14.90386</v>
      </c>
      <c r="E209" t="b">
        <v>0</v>
      </c>
      <c r="F209" s="1">
        <v>162</v>
      </c>
      <c r="G209" s="1" t="s">
        <v>305</v>
      </c>
      <c r="H209">
        <v>162</v>
      </c>
      <c r="I209">
        <v>1</v>
      </c>
      <c r="J209">
        <v>0.22826080000000001</v>
      </c>
      <c r="K209" s="1" t="s">
        <v>306</v>
      </c>
      <c r="L209">
        <v>162</v>
      </c>
      <c r="M209" s="1" t="s">
        <v>307</v>
      </c>
      <c r="N209">
        <v>1</v>
      </c>
      <c r="O209">
        <v>0.111</v>
      </c>
      <c r="P209" s="1" t="s">
        <v>306</v>
      </c>
      <c r="Q209">
        <v>162</v>
      </c>
      <c r="R209" s="1" t="s">
        <v>308</v>
      </c>
      <c r="S209">
        <v>1</v>
      </c>
      <c r="T209">
        <v>0.32608690000000001</v>
      </c>
      <c r="U209" s="1" t="s">
        <v>306</v>
      </c>
      <c r="V209">
        <v>162</v>
      </c>
      <c r="W209" s="1" t="s">
        <v>309</v>
      </c>
      <c r="X209">
        <v>1</v>
      </c>
      <c r="Y209">
        <v>0.125</v>
      </c>
      <c r="Z209" s="1" t="s">
        <v>306</v>
      </c>
      <c r="AA209">
        <v>162</v>
      </c>
      <c r="AB209" s="1" t="s">
        <v>310</v>
      </c>
      <c r="AC209">
        <v>1</v>
      </c>
      <c r="AD209">
        <v>14.90386</v>
      </c>
      <c r="AE209" s="1" t="s">
        <v>311</v>
      </c>
      <c r="AF209">
        <v>162</v>
      </c>
      <c r="AG209" s="1" t="s">
        <v>312</v>
      </c>
      <c r="AH209">
        <v>1</v>
      </c>
      <c r="AI209">
        <v>6.5217999999999998E-2</v>
      </c>
      <c r="AJ209" s="1" t="s">
        <v>306</v>
      </c>
      <c r="AK209">
        <v>162</v>
      </c>
      <c r="AL209" s="1" t="s">
        <v>313</v>
      </c>
      <c r="AM209">
        <v>1</v>
      </c>
      <c r="AN209">
        <v>0</v>
      </c>
      <c r="AO209" s="1" t="s">
        <v>306</v>
      </c>
      <c r="AP209">
        <v>162</v>
      </c>
      <c r="AQ209" s="1" t="s">
        <v>314</v>
      </c>
      <c r="AR209">
        <v>1</v>
      </c>
      <c r="AS209">
        <v>0.69</v>
      </c>
      <c r="AT209" s="1" t="s">
        <v>306</v>
      </c>
      <c r="AU209">
        <v>162</v>
      </c>
      <c r="AV209" s="1" t="s">
        <v>315</v>
      </c>
      <c r="AW209">
        <v>1</v>
      </c>
      <c r="AX209" t="b">
        <v>0</v>
      </c>
      <c r="AY209" s="1" t="s">
        <v>316</v>
      </c>
      <c r="AZ209">
        <v>162</v>
      </c>
      <c r="BA209" s="1" t="s">
        <v>317</v>
      </c>
    </row>
    <row r="210" spans="1:53" x14ac:dyDescent="0.25">
      <c r="A210">
        <v>23</v>
      </c>
      <c r="B210" s="1" t="s">
        <v>75</v>
      </c>
      <c r="C210">
        <v>164</v>
      </c>
      <c r="D210">
        <v>14.994540000000001</v>
      </c>
      <c r="E210" t="b">
        <v>0</v>
      </c>
      <c r="F210" s="1">
        <v>164</v>
      </c>
      <c r="G210" s="1" t="s">
        <v>305</v>
      </c>
      <c r="H210">
        <v>164</v>
      </c>
      <c r="I210">
        <v>1</v>
      </c>
      <c r="J210">
        <v>0.1833333</v>
      </c>
      <c r="K210" s="1" t="s">
        <v>306</v>
      </c>
      <c r="L210">
        <v>164</v>
      </c>
      <c r="M210" s="1" t="s">
        <v>307</v>
      </c>
      <c r="N210">
        <v>1</v>
      </c>
      <c r="O210">
        <v>0.111</v>
      </c>
      <c r="P210" s="1" t="s">
        <v>306</v>
      </c>
      <c r="Q210">
        <v>164</v>
      </c>
      <c r="R210" s="1" t="s">
        <v>308</v>
      </c>
      <c r="S210">
        <v>1</v>
      </c>
      <c r="T210">
        <v>0.4166666</v>
      </c>
      <c r="U210" s="1" t="s">
        <v>306</v>
      </c>
      <c r="V210">
        <v>164</v>
      </c>
      <c r="W210" s="1" t="s">
        <v>309</v>
      </c>
      <c r="X210">
        <v>1</v>
      </c>
      <c r="Y210">
        <v>0.03</v>
      </c>
      <c r="Z210" s="1" t="s">
        <v>306</v>
      </c>
      <c r="AA210">
        <v>164</v>
      </c>
      <c r="AB210" s="1" t="s">
        <v>310</v>
      </c>
      <c r="AC210">
        <v>1</v>
      </c>
      <c r="AD210">
        <v>14.994540000000001</v>
      </c>
      <c r="AE210" s="1" t="s">
        <v>311</v>
      </c>
      <c r="AF210">
        <v>164</v>
      </c>
      <c r="AG210" s="1" t="s">
        <v>312</v>
      </c>
      <c r="AH210">
        <v>1</v>
      </c>
      <c r="AI210">
        <v>7.2221999999999995E-2</v>
      </c>
      <c r="AJ210" s="1" t="s">
        <v>306</v>
      </c>
      <c r="AK210">
        <v>164</v>
      </c>
      <c r="AL210" s="1" t="s">
        <v>313</v>
      </c>
      <c r="AM210">
        <v>1</v>
      </c>
      <c r="AN210">
        <v>0</v>
      </c>
      <c r="AO210" s="1" t="s">
        <v>306</v>
      </c>
      <c r="AP210">
        <v>164</v>
      </c>
      <c r="AQ210" s="1" t="s">
        <v>314</v>
      </c>
      <c r="AR210">
        <v>1</v>
      </c>
      <c r="AS210">
        <v>0.76</v>
      </c>
      <c r="AT210" s="1" t="s">
        <v>306</v>
      </c>
      <c r="AU210">
        <v>164</v>
      </c>
      <c r="AV210" s="1" t="s">
        <v>315</v>
      </c>
      <c r="AW210">
        <v>1</v>
      </c>
      <c r="AX210" t="b">
        <v>0</v>
      </c>
      <c r="AY210" s="1" t="s">
        <v>316</v>
      </c>
      <c r="AZ210">
        <v>164</v>
      </c>
      <c r="BA210" s="1" t="s">
        <v>317</v>
      </c>
    </row>
    <row r="211" spans="1:53" x14ac:dyDescent="0.25">
      <c r="A211">
        <v>24</v>
      </c>
      <c r="B211" s="1" t="s">
        <v>76</v>
      </c>
      <c r="C211">
        <v>165</v>
      </c>
      <c r="D211">
        <v>13.417120000000001</v>
      </c>
      <c r="E211" t="b">
        <v>0</v>
      </c>
      <c r="F211" s="1">
        <v>165</v>
      </c>
      <c r="G211" s="1" t="s">
        <v>305</v>
      </c>
      <c r="H211">
        <v>165</v>
      </c>
      <c r="I211">
        <v>1</v>
      </c>
      <c r="J211">
        <v>0.23599999999999999</v>
      </c>
      <c r="K211" s="1" t="s">
        <v>306</v>
      </c>
      <c r="L211">
        <v>165</v>
      </c>
      <c r="M211" s="1" t="s">
        <v>307</v>
      </c>
      <c r="N211">
        <v>1</v>
      </c>
      <c r="O211">
        <v>0.111</v>
      </c>
      <c r="P211" s="1" t="s">
        <v>306</v>
      </c>
      <c r="Q211">
        <v>165</v>
      </c>
      <c r="R211" s="1" t="s">
        <v>308</v>
      </c>
      <c r="S211">
        <v>1</v>
      </c>
      <c r="T211">
        <v>0.35199999999999998</v>
      </c>
      <c r="U211" s="1" t="s">
        <v>306</v>
      </c>
      <c r="V211">
        <v>165</v>
      </c>
      <c r="W211" s="1" t="s">
        <v>309</v>
      </c>
      <c r="X211">
        <v>1</v>
      </c>
      <c r="Y211">
        <v>3.2000000000000001E-2</v>
      </c>
      <c r="Z211" s="1" t="s">
        <v>306</v>
      </c>
      <c r="AA211">
        <v>165</v>
      </c>
      <c r="AB211" s="1" t="s">
        <v>310</v>
      </c>
      <c r="AC211">
        <v>1</v>
      </c>
      <c r="AD211">
        <v>13.417120000000001</v>
      </c>
      <c r="AE211" s="1" t="s">
        <v>311</v>
      </c>
      <c r="AF211">
        <v>165</v>
      </c>
      <c r="AG211" s="1" t="s">
        <v>312</v>
      </c>
      <c r="AH211">
        <v>1</v>
      </c>
      <c r="AI211">
        <v>7.8E-2</v>
      </c>
      <c r="AJ211" s="1" t="s">
        <v>306</v>
      </c>
      <c r="AK211">
        <v>165</v>
      </c>
      <c r="AL211" s="1" t="s">
        <v>313</v>
      </c>
      <c r="AM211">
        <v>1</v>
      </c>
      <c r="AN211">
        <v>0</v>
      </c>
      <c r="AO211" s="1" t="s">
        <v>306</v>
      </c>
      <c r="AP211">
        <v>165</v>
      </c>
      <c r="AQ211" s="1" t="s">
        <v>314</v>
      </c>
      <c r="AR211">
        <v>1</v>
      </c>
      <c r="AS211">
        <v>0.69</v>
      </c>
      <c r="AT211" s="1" t="s">
        <v>306</v>
      </c>
      <c r="AU211">
        <v>165</v>
      </c>
      <c r="AV211" s="1" t="s">
        <v>315</v>
      </c>
      <c r="AW211">
        <v>1</v>
      </c>
      <c r="AX211" t="b">
        <v>0</v>
      </c>
      <c r="AY211" s="1" t="s">
        <v>316</v>
      </c>
      <c r="AZ211">
        <v>165</v>
      </c>
      <c r="BA211" s="1" t="s">
        <v>317</v>
      </c>
    </row>
    <row r="212" spans="1:53" x14ac:dyDescent="0.25">
      <c r="A212">
        <v>115</v>
      </c>
      <c r="B212" s="1" t="s">
        <v>167</v>
      </c>
      <c r="C212">
        <v>371</v>
      </c>
      <c r="D212">
        <v>1</v>
      </c>
      <c r="E212" t="b">
        <v>0</v>
      </c>
      <c r="F212" s="1" t="s">
        <v>304</v>
      </c>
      <c r="G212" s="1" t="s">
        <v>305</v>
      </c>
      <c r="H212">
        <v>371</v>
      </c>
      <c r="I212">
        <v>1</v>
      </c>
      <c r="J212">
        <v>0.10100000000000001</v>
      </c>
      <c r="K212" s="1" t="s">
        <v>306</v>
      </c>
      <c r="L212">
        <v>371</v>
      </c>
      <c r="M212" s="1" t="s">
        <v>307</v>
      </c>
      <c r="N212">
        <v>1</v>
      </c>
      <c r="O212">
        <v>0.4</v>
      </c>
      <c r="P212" s="1" t="s">
        <v>306</v>
      </c>
      <c r="Q212">
        <v>371</v>
      </c>
      <c r="R212" s="1" t="s">
        <v>308</v>
      </c>
      <c r="S212">
        <v>1</v>
      </c>
      <c r="T212">
        <v>0.10100000000000001</v>
      </c>
      <c r="U212" s="1" t="s">
        <v>306</v>
      </c>
      <c r="V212">
        <v>371</v>
      </c>
      <c r="W212" s="1" t="s">
        <v>309</v>
      </c>
      <c r="X212">
        <v>1</v>
      </c>
      <c r="Y212">
        <v>0</v>
      </c>
      <c r="Z212" s="1" t="s">
        <v>306</v>
      </c>
      <c r="AA212">
        <v>371</v>
      </c>
      <c r="AB212" s="1" t="s">
        <v>310</v>
      </c>
      <c r="AC212">
        <v>1</v>
      </c>
      <c r="AD212">
        <v>14.13416</v>
      </c>
      <c r="AE212" s="1" t="s">
        <v>311</v>
      </c>
      <c r="AF212">
        <v>371</v>
      </c>
      <c r="AG212" s="1" t="s">
        <v>312</v>
      </c>
      <c r="AH212">
        <v>1</v>
      </c>
      <c r="AI212">
        <v>0.08</v>
      </c>
      <c r="AJ212" s="1" t="s">
        <v>306</v>
      </c>
      <c r="AK212">
        <v>371</v>
      </c>
      <c r="AL212" s="1" t="s">
        <v>313</v>
      </c>
      <c r="AM212">
        <v>1</v>
      </c>
      <c r="AN212">
        <v>0</v>
      </c>
      <c r="AO212" s="1" t="s">
        <v>306</v>
      </c>
      <c r="AP212">
        <v>371</v>
      </c>
      <c r="AQ212" s="1" t="s">
        <v>314</v>
      </c>
      <c r="AR212">
        <v>1</v>
      </c>
      <c r="AS212">
        <v>0.89</v>
      </c>
      <c r="AT212" s="1" t="s">
        <v>306</v>
      </c>
      <c r="AU212">
        <v>371</v>
      </c>
      <c r="AV212" s="1" t="s">
        <v>315</v>
      </c>
      <c r="AW212">
        <v>1</v>
      </c>
      <c r="AX212" t="b">
        <v>0</v>
      </c>
      <c r="AY212" s="1" t="s">
        <v>316</v>
      </c>
      <c r="AZ212">
        <v>371</v>
      </c>
      <c r="BA212" s="1" t="s">
        <v>317</v>
      </c>
    </row>
    <row r="213" spans="1:53" x14ac:dyDescent="0.25">
      <c r="A213">
        <v>116</v>
      </c>
      <c r="B213" s="1" t="s">
        <v>168</v>
      </c>
      <c r="C213">
        <v>373</v>
      </c>
      <c r="D213">
        <v>1</v>
      </c>
      <c r="E213" t="b">
        <v>0</v>
      </c>
      <c r="F213" s="1" t="s">
        <v>304</v>
      </c>
      <c r="G213" s="1" t="s">
        <v>305</v>
      </c>
      <c r="H213">
        <v>373</v>
      </c>
      <c r="I213">
        <v>1</v>
      </c>
      <c r="J213">
        <v>0.129</v>
      </c>
      <c r="K213" s="1" t="s">
        <v>306</v>
      </c>
      <c r="L213">
        <v>373</v>
      </c>
      <c r="M213" s="1" t="s">
        <v>307</v>
      </c>
      <c r="N213">
        <v>1</v>
      </c>
      <c r="O213">
        <v>0.1</v>
      </c>
      <c r="P213" s="1" t="s">
        <v>306</v>
      </c>
      <c r="Q213">
        <v>373</v>
      </c>
      <c r="R213" s="1" t="s">
        <v>308</v>
      </c>
      <c r="S213">
        <v>1</v>
      </c>
      <c r="T213">
        <v>0.19</v>
      </c>
      <c r="U213" s="1" t="s">
        <v>306</v>
      </c>
      <c r="V213">
        <v>373</v>
      </c>
      <c r="W213" s="1" t="s">
        <v>309</v>
      </c>
      <c r="X213">
        <v>1</v>
      </c>
      <c r="Y213">
        <v>4.2999999999999997E-2</v>
      </c>
      <c r="Z213" s="1" t="s">
        <v>306</v>
      </c>
      <c r="AA213">
        <v>373</v>
      </c>
      <c r="AB213" s="1" t="s">
        <v>310</v>
      </c>
      <c r="AC213">
        <v>1</v>
      </c>
      <c r="AD213">
        <v>12.17018</v>
      </c>
      <c r="AE213" s="1" t="s">
        <v>311</v>
      </c>
      <c r="AF213">
        <v>373</v>
      </c>
      <c r="AG213" s="1" t="s">
        <v>312</v>
      </c>
      <c r="AH213">
        <v>1</v>
      </c>
      <c r="AI213">
        <v>0.18099999999999999</v>
      </c>
      <c r="AJ213" s="1" t="s">
        <v>306</v>
      </c>
      <c r="AK213">
        <v>373</v>
      </c>
      <c r="AL213" s="1" t="s">
        <v>313</v>
      </c>
      <c r="AM213">
        <v>1</v>
      </c>
      <c r="AN213">
        <v>0</v>
      </c>
      <c r="AO213" s="1" t="s">
        <v>306</v>
      </c>
      <c r="AP213">
        <v>373</v>
      </c>
      <c r="AQ213" s="1" t="s">
        <v>314</v>
      </c>
      <c r="AR213">
        <v>1</v>
      </c>
      <c r="AS213">
        <v>0.75</v>
      </c>
      <c r="AT213" s="1" t="s">
        <v>306</v>
      </c>
      <c r="AU213">
        <v>373</v>
      </c>
      <c r="AV213" s="1" t="s">
        <v>315</v>
      </c>
      <c r="AW213">
        <v>1</v>
      </c>
      <c r="AX213" t="b">
        <v>0</v>
      </c>
      <c r="AY213" s="1" t="s">
        <v>316</v>
      </c>
      <c r="AZ213">
        <v>373</v>
      </c>
      <c r="BA213" s="1" t="s">
        <v>317</v>
      </c>
    </row>
    <row r="214" spans="1:53" x14ac:dyDescent="0.25">
      <c r="A214">
        <v>151</v>
      </c>
      <c r="B214" s="1" t="s">
        <v>203</v>
      </c>
      <c r="C214">
        <v>479</v>
      </c>
      <c r="D214">
        <v>1</v>
      </c>
      <c r="E214" t="b">
        <v>0</v>
      </c>
      <c r="F214" s="1" t="s">
        <v>304</v>
      </c>
      <c r="G214" s="1" t="s">
        <v>305</v>
      </c>
      <c r="H214">
        <v>479</v>
      </c>
      <c r="I214">
        <v>1</v>
      </c>
      <c r="J214">
        <v>0.28199999999999997</v>
      </c>
      <c r="K214" s="1" t="s">
        <v>306</v>
      </c>
      <c r="L214">
        <v>479</v>
      </c>
      <c r="M214" s="1" t="s">
        <v>307</v>
      </c>
      <c r="N214">
        <v>1</v>
      </c>
      <c r="O214">
        <v>0.12</v>
      </c>
      <c r="P214" s="1" t="s">
        <v>306</v>
      </c>
      <c r="Q214">
        <v>479</v>
      </c>
      <c r="R214" s="1" t="s">
        <v>308</v>
      </c>
      <c r="S214">
        <v>1</v>
      </c>
      <c r="T214">
        <v>0.17699999999999999</v>
      </c>
      <c r="U214" s="1" t="s">
        <v>306</v>
      </c>
      <c r="V214">
        <v>479</v>
      </c>
      <c r="W214" s="1" t="s">
        <v>309</v>
      </c>
      <c r="X214">
        <v>1</v>
      </c>
      <c r="Y214">
        <v>2.4E-2</v>
      </c>
      <c r="Z214" s="1" t="s">
        <v>306</v>
      </c>
      <c r="AA214">
        <v>479</v>
      </c>
      <c r="AB214" s="1" t="s">
        <v>310</v>
      </c>
      <c r="AC214">
        <v>1</v>
      </c>
      <c r="AD214">
        <v>11.49362</v>
      </c>
      <c r="AE214" s="1" t="s">
        <v>311</v>
      </c>
      <c r="AF214">
        <v>479</v>
      </c>
      <c r="AG214" s="1" t="s">
        <v>312</v>
      </c>
      <c r="AH214">
        <v>1</v>
      </c>
      <c r="AI214">
        <v>0.121</v>
      </c>
      <c r="AJ214" s="1" t="s">
        <v>306</v>
      </c>
      <c r="AK214">
        <v>479</v>
      </c>
      <c r="AL214" s="1" t="s">
        <v>313</v>
      </c>
      <c r="AM214">
        <v>1</v>
      </c>
      <c r="AN214">
        <v>0</v>
      </c>
      <c r="AO214" s="1" t="s">
        <v>306</v>
      </c>
      <c r="AP214">
        <v>479</v>
      </c>
      <c r="AQ214" s="1" t="s">
        <v>314</v>
      </c>
      <c r="AR214">
        <v>1</v>
      </c>
      <c r="AS214">
        <v>0.68</v>
      </c>
      <c r="AT214" s="1" t="s">
        <v>306</v>
      </c>
      <c r="AU214">
        <v>479</v>
      </c>
      <c r="AV214" s="1" t="s">
        <v>315</v>
      </c>
      <c r="AW214">
        <v>1</v>
      </c>
      <c r="AX214" t="b">
        <v>0</v>
      </c>
      <c r="AY214" s="1" t="s">
        <v>316</v>
      </c>
      <c r="AZ214">
        <v>479</v>
      </c>
      <c r="BA214" s="1" t="s">
        <v>317</v>
      </c>
    </row>
    <row r="215" spans="1:53" x14ac:dyDescent="0.25">
      <c r="A215">
        <v>187</v>
      </c>
      <c r="B215" s="1" t="s">
        <v>239</v>
      </c>
      <c r="C215">
        <v>579</v>
      </c>
      <c r="D215">
        <v>1</v>
      </c>
      <c r="E215" t="b">
        <v>0</v>
      </c>
      <c r="F215" s="1" t="s">
        <v>304</v>
      </c>
      <c r="G215" s="1" t="s">
        <v>305</v>
      </c>
      <c r="H215">
        <v>579</v>
      </c>
      <c r="I215">
        <v>1</v>
      </c>
      <c r="J215">
        <v>0.35</v>
      </c>
      <c r="K215" s="1" t="s">
        <v>306</v>
      </c>
      <c r="L215">
        <v>579</v>
      </c>
      <c r="M215" s="1" t="s">
        <v>307</v>
      </c>
      <c r="N215">
        <v>1</v>
      </c>
      <c r="O215">
        <v>7.0000000000000007E-2</v>
      </c>
      <c r="P215" s="1" t="s">
        <v>306</v>
      </c>
      <c r="Q215">
        <v>579</v>
      </c>
      <c r="R215" s="1" t="s">
        <v>308</v>
      </c>
      <c r="S215">
        <v>1</v>
      </c>
      <c r="T215">
        <v>0.16</v>
      </c>
      <c r="U215" s="1" t="s">
        <v>306</v>
      </c>
      <c r="V215">
        <v>579</v>
      </c>
      <c r="W215" s="1" t="s">
        <v>309</v>
      </c>
      <c r="X215">
        <v>1</v>
      </c>
      <c r="Y215">
        <v>3.7999999999999999E-2</v>
      </c>
      <c r="Z215" s="1" t="s">
        <v>306</v>
      </c>
      <c r="AA215">
        <v>579</v>
      </c>
      <c r="AB215" s="1" t="s">
        <v>310</v>
      </c>
      <c r="AC215">
        <v>1</v>
      </c>
      <c r="AD215">
        <v>11.31015</v>
      </c>
      <c r="AE215" s="1" t="s">
        <v>311</v>
      </c>
      <c r="AF215">
        <v>579</v>
      </c>
      <c r="AG215" s="1" t="s">
        <v>312</v>
      </c>
      <c r="AH215">
        <v>1</v>
      </c>
      <c r="AI215">
        <v>8.5999999999999993E-2</v>
      </c>
      <c r="AJ215" s="1" t="s">
        <v>306</v>
      </c>
      <c r="AK215">
        <v>579</v>
      </c>
      <c r="AL215" s="1" t="s">
        <v>313</v>
      </c>
      <c r="AM215">
        <v>1</v>
      </c>
      <c r="AN215">
        <v>0</v>
      </c>
      <c r="AO215" s="1" t="s">
        <v>306</v>
      </c>
      <c r="AP215">
        <v>579</v>
      </c>
      <c r="AQ215" s="1" t="s">
        <v>314</v>
      </c>
      <c r="AR215">
        <v>1</v>
      </c>
      <c r="AS215">
        <v>0.63500000000000001</v>
      </c>
      <c r="AT215" s="1" t="s">
        <v>306</v>
      </c>
      <c r="AU215">
        <v>579</v>
      </c>
      <c r="AV215" s="1" t="s">
        <v>315</v>
      </c>
      <c r="AW215">
        <v>1</v>
      </c>
      <c r="AX215" t="b">
        <v>0</v>
      </c>
      <c r="AY215" s="1" t="s">
        <v>316</v>
      </c>
      <c r="AZ215">
        <v>579</v>
      </c>
      <c r="BA215" s="1" t="s">
        <v>317</v>
      </c>
    </row>
    <row r="216" spans="1:53" x14ac:dyDescent="0.25">
      <c r="A216">
        <v>87</v>
      </c>
      <c r="B216" s="1" t="s">
        <v>139</v>
      </c>
      <c r="C216">
        <v>296</v>
      </c>
      <c r="D216">
        <v>15.318250000000001</v>
      </c>
      <c r="E216" t="b">
        <v>0</v>
      </c>
      <c r="F216" s="1">
        <v>296</v>
      </c>
      <c r="G216" s="1" t="s">
        <v>305</v>
      </c>
      <c r="H216">
        <v>296</v>
      </c>
      <c r="I216">
        <v>1</v>
      </c>
      <c r="J216">
        <v>0.03</v>
      </c>
      <c r="K216" s="1" t="s">
        <v>306</v>
      </c>
      <c r="L216">
        <v>296</v>
      </c>
      <c r="M216" s="1" t="s">
        <v>307</v>
      </c>
      <c r="N216">
        <v>1</v>
      </c>
      <c r="O216">
        <v>0.8</v>
      </c>
      <c r="P216" s="1" t="s">
        <v>306</v>
      </c>
      <c r="Q216">
        <v>296</v>
      </c>
      <c r="R216" s="1" t="s">
        <v>308</v>
      </c>
      <c r="S216">
        <v>1</v>
      </c>
      <c r="T216">
        <v>5.8000000000000003E-2</v>
      </c>
      <c r="U216" s="1" t="s">
        <v>306</v>
      </c>
      <c r="V216">
        <v>296</v>
      </c>
      <c r="W216" s="1" t="s">
        <v>309</v>
      </c>
      <c r="X216">
        <v>1</v>
      </c>
      <c r="Y216">
        <v>6.0000000000000001E-3</v>
      </c>
      <c r="Z216" s="1" t="s">
        <v>306</v>
      </c>
      <c r="AA216">
        <v>296</v>
      </c>
      <c r="AB216" s="1" t="s">
        <v>310</v>
      </c>
      <c r="AC216">
        <v>1</v>
      </c>
      <c r="AD216">
        <v>15.318250000000001</v>
      </c>
      <c r="AE216" s="1" t="s">
        <v>311</v>
      </c>
      <c r="AF216">
        <v>296</v>
      </c>
      <c r="AG216" s="1" t="s">
        <v>312</v>
      </c>
      <c r="AH216">
        <v>1</v>
      </c>
      <c r="AI216">
        <v>3.3000000000000002E-2</v>
      </c>
      <c r="AJ216" s="1" t="s">
        <v>306</v>
      </c>
      <c r="AK216">
        <v>296</v>
      </c>
      <c r="AL216" s="1" t="s">
        <v>313</v>
      </c>
      <c r="AM216">
        <v>1</v>
      </c>
      <c r="AN216">
        <v>0</v>
      </c>
      <c r="AO216" s="1" t="s">
        <v>306</v>
      </c>
      <c r="AP216">
        <v>296</v>
      </c>
      <c r="AQ216" s="1" t="s">
        <v>314</v>
      </c>
      <c r="AR216">
        <v>1</v>
      </c>
      <c r="AS216">
        <v>0.91</v>
      </c>
      <c r="AT216" s="1" t="s">
        <v>306</v>
      </c>
      <c r="AU216">
        <v>296</v>
      </c>
      <c r="AV216" s="1" t="s">
        <v>315</v>
      </c>
      <c r="AW216">
        <v>1</v>
      </c>
      <c r="AX216" t="b">
        <v>0</v>
      </c>
      <c r="AY216" s="1" t="s">
        <v>316</v>
      </c>
      <c r="AZ216">
        <v>296</v>
      </c>
      <c r="BA216" s="1" t="s">
        <v>317</v>
      </c>
    </row>
    <row r="217" spans="1:53" x14ac:dyDescent="0.25">
      <c r="A217">
        <v>86</v>
      </c>
      <c r="B217" s="1" t="s">
        <v>138</v>
      </c>
      <c r="C217">
        <v>295</v>
      </c>
      <c r="D217">
        <v>14.563980000000001</v>
      </c>
      <c r="E217" t="b">
        <v>0</v>
      </c>
      <c r="F217" s="1">
        <v>295</v>
      </c>
      <c r="G217" s="1" t="s">
        <v>305</v>
      </c>
      <c r="H217">
        <v>295</v>
      </c>
      <c r="I217">
        <v>1</v>
      </c>
      <c r="J217">
        <v>4.3999999999999997E-2</v>
      </c>
      <c r="K217" s="1" t="s">
        <v>306</v>
      </c>
      <c r="L217">
        <v>295</v>
      </c>
      <c r="M217" s="1" t="s">
        <v>307</v>
      </c>
      <c r="N217">
        <v>1</v>
      </c>
      <c r="O217">
        <v>0.8</v>
      </c>
      <c r="P217" s="1" t="s">
        <v>306</v>
      </c>
      <c r="Q217">
        <v>295</v>
      </c>
      <c r="R217" s="1" t="s">
        <v>308</v>
      </c>
      <c r="S217">
        <v>1</v>
      </c>
      <c r="T217">
        <v>3.2000000000000001E-2</v>
      </c>
      <c r="U217" s="1" t="s">
        <v>306</v>
      </c>
      <c r="V217">
        <v>295</v>
      </c>
      <c r="W217" s="1" t="s">
        <v>309</v>
      </c>
      <c r="X217">
        <v>1</v>
      </c>
      <c r="Y217">
        <v>8.0000000000000002E-3</v>
      </c>
      <c r="Z217" s="1" t="s">
        <v>306</v>
      </c>
      <c r="AA217">
        <v>295</v>
      </c>
      <c r="AB217" s="1" t="s">
        <v>310</v>
      </c>
      <c r="AC217">
        <v>1</v>
      </c>
      <c r="AD217">
        <v>14.563980000000001</v>
      </c>
      <c r="AE217" s="1" t="s">
        <v>311</v>
      </c>
      <c r="AF217">
        <v>295</v>
      </c>
      <c r="AG217" s="1" t="s">
        <v>312</v>
      </c>
      <c r="AH217">
        <v>1</v>
      </c>
      <c r="AI217">
        <v>6.2E-2</v>
      </c>
      <c r="AJ217" s="1" t="s">
        <v>306</v>
      </c>
      <c r="AK217">
        <v>295</v>
      </c>
      <c r="AL217" s="1" t="s">
        <v>313</v>
      </c>
      <c r="AM217">
        <v>1</v>
      </c>
      <c r="AN217">
        <v>0</v>
      </c>
      <c r="AO217" s="1" t="s">
        <v>306</v>
      </c>
      <c r="AP217">
        <v>295</v>
      </c>
      <c r="AQ217" s="1" t="s">
        <v>314</v>
      </c>
      <c r="AR217">
        <v>1</v>
      </c>
      <c r="AS217">
        <v>0.9</v>
      </c>
      <c r="AT217" s="1" t="s">
        <v>306</v>
      </c>
      <c r="AU217">
        <v>295</v>
      </c>
      <c r="AV217" s="1" t="s">
        <v>315</v>
      </c>
      <c r="AW217">
        <v>1</v>
      </c>
      <c r="AX217" t="b">
        <v>0</v>
      </c>
      <c r="AY217" s="1" t="s">
        <v>316</v>
      </c>
      <c r="AZ217">
        <v>295</v>
      </c>
      <c r="BA217" s="1" t="s">
        <v>317</v>
      </c>
    </row>
    <row r="218" spans="1:53" x14ac:dyDescent="0.25">
      <c r="A218">
        <v>111</v>
      </c>
      <c r="B218" s="1" t="s">
        <v>163</v>
      </c>
      <c r="C218">
        <v>365</v>
      </c>
      <c r="D218">
        <v>1</v>
      </c>
      <c r="E218" t="b">
        <v>1</v>
      </c>
      <c r="F218" s="1" t="s">
        <v>304</v>
      </c>
      <c r="G218" s="1" t="s">
        <v>305</v>
      </c>
      <c r="H218">
        <v>365</v>
      </c>
      <c r="I218">
        <v>1</v>
      </c>
      <c r="J218">
        <v>0.115</v>
      </c>
      <c r="K218" s="1" t="s">
        <v>306</v>
      </c>
      <c r="L218">
        <v>365</v>
      </c>
      <c r="M218" s="1" t="s">
        <v>307</v>
      </c>
      <c r="N218">
        <v>1</v>
      </c>
      <c r="O218">
        <v>1.4999999999999999E-2</v>
      </c>
      <c r="P218" s="1" t="s">
        <v>306</v>
      </c>
      <c r="Q218">
        <v>365</v>
      </c>
      <c r="R218" s="1" t="s">
        <v>308</v>
      </c>
      <c r="S218">
        <v>1</v>
      </c>
      <c r="T218">
        <v>0.15</v>
      </c>
      <c r="U218" s="1" t="s">
        <v>306</v>
      </c>
      <c r="V218">
        <v>365</v>
      </c>
      <c r="W218" s="1" t="s">
        <v>309</v>
      </c>
      <c r="X218">
        <v>1</v>
      </c>
      <c r="Y218">
        <v>1.6E-2</v>
      </c>
      <c r="Z218" s="1" t="s">
        <v>306</v>
      </c>
      <c r="AA218">
        <v>365</v>
      </c>
      <c r="AB218" s="1" t="s">
        <v>310</v>
      </c>
      <c r="AC218">
        <v>1</v>
      </c>
      <c r="AD218">
        <v>12.53899</v>
      </c>
      <c r="AE218" s="1" t="s">
        <v>311</v>
      </c>
      <c r="AF218">
        <v>365</v>
      </c>
      <c r="AG218" s="1" t="s">
        <v>312</v>
      </c>
      <c r="AH218">
        <v>1</v>
      </c>
      <c r="AI218">
        <v>0.18</v>
      </c>
      <c r="AJ218" s="1" t="s">
        <v>306</v>
      </c>
      <c r="AK218">
        <v>365</v>
      </c>
      <c r="AL218" s="1" t="s">
        <v>313</v>
      </c>
      <c r="AM218">
        <v>1</v>
      </c>
      <c r="AN218">
        <v>0</v>
      </c>
      <c r="AO218" s="1" t="s">
        <v>306</v>
      </c>
      <c r="AP218">
        <v>365</v>
      </c>
      <c r="AQ218" s="1" t="s">
        <v>314</v>
      </c>
      <c r="AR218">
        <v>1</v>
      </c>
      <c r="AS218">
        <v>0.82399999999999995</v>
      </c>
      <c r="AT218" s="1" t="s">
        <v>306</v>
      </c>
      <c r="AU218">
        <v>365</v>
      </c>
      <c r="AV218" s="1" t="s">
        <v>315</v>
      </c>
      <c r="AW218">
        <v>1</v>
      </c>
      <c r="AX218" t="b">
        <v>0</v>
      </c>
      <c r="AY218" s="1" t="s">
        <v>316</v>
      </c>
      <c r="AZ218">
        <v>365</v>
      </c>
      <c r="BA218" s="1" t="s">
        <v>317</v>
      </c>
    </row>
    <row r="219" spans="1:53" x14ac:dyDescent="0.25">
      <c r="A219">
        <v>113</v>
      </c>
      <c r="B219" s="1" t="s">
        <v>165</v>
      </c>
      <c r="C219">
        <v>367</v>
      </c>
      <c r="D219">
        <v>1</v>
      </c>
      <c r="E219" t="b">
        <v>0</v>
      </c>
      <c r="F219" s="1" t="s">
        <v>304</v>
      </c>
      <c r="G219" s="1" t="s">
        <v>305</v>
      </c>
      <c r="H219">
        <v>367</v>
      </c>
      <c r="I219">
        <v>1</v>
      </c>
      <c r="J219">
        <v>0.23</v>
      </c>
      <c r="K219" s="1" t="s">
        <v>306</v>
      </c>
      <c r="L219">
        <v>367</v>
      </c>
      <c r="M219" s="1" t="s">
        <v>307</v>
      </c>
      <c r="N219">
        <v>1</v>
      </c>
      <c r="O219">
        <v>1.4999999999999999E-2</v>
      </c>
      <c r="P219" s="1" t="s">
        <v>306</v>
      </c>
      <c r="Q219">
        <v>367</v>
      </c>
      <c r="R219" s="1" t="s">
        <v>308</v>
      </c>
      <c r="S219">
        <v>1</v>
      </c>
      <c r="T219">
        <v>0.15</v>
      </c>
      <c r="U219" s="1" t="s">
        <v>306</v>
      </c>
      <c r="V219">
        <v>367</v>
      </c>
      <c r="W219" s="1" t="s">
        <v>309</v>
      </c>
      <c r="X219">
        <v>1</v>
      </c>
      <c r="Y219">
        <v>2.5000000000000001E-2</v>
      </c>
      <c r="Z219" s="1" t="s">
        <v>306</v>
      </c>
      <c r="AA219">
        <v>367</v>
      </c>
      <c r="AB219" s="1" t="s">
        <v>310</v>
      </c>
      <c r="AC219">
        <v>1</v>
      </c>
      <c r="AD219">
        <v>12.132759999999999</v>
      </c>
      <c r="AE219" s="1" t="s">
        <v>311</v>
      </c>
      <c r="AF219">
        <v>367</v>
      </c>
      <c r="AG219" s="1" t="s">
        <v>312</v>
      </c>
      <c r="AH219">
        <v>1</v>
      </c>
      <c r="AI219">
        <v>0.13</v>
      </c>
      <c r="AJ219" s="1" t="s">
        <v>306</v>
      </c>
      <c r="AK219">
        <v>367</v>
      </c>
      <c r="AL219" s="1" t="s">
        <v>313</v>
      </c>
      <c r="AM219">
        <v>1</v>
      </c>
      <c r="AN219">
        <v>0</v>
      </c>
      <c r="AO219" s="1" t="s">
        <v>306</v>
      </c>
      <c r="AP219">
        <v>367</v>
      </c>
      <c r="AQ219" s="1" t="s">
        <v>314</v>
      </c>
      <c r="AR219">
        <v>1</v>
      </c>
      <c r="AS219">
        <v>0.74</v>
      </c>
      <c r="AT219" s="1" t="s">
        <v>306</v>
      </c>
      <c r="AU219">
        <v>367</v>
      </c>
      <c r="AV219" s="1" t="s">
        <v>315</v>
      </c>
      <c r="AW219">
        <v>1</v>
      </c>
      <c r="AX219" t="b">
        <v>0</v>
      </c>
      <c r="AY219" s="1" t="s">
        <v>316</v>
      </c>
      <c r="AZ219">
        <v>367</v>
      </c>
      <c r="BA219" s="1" t="s">
        <v>317</v>
      </c>
    </row>
    <row r="220" spans="1:53" x14ac:dyDescent="0.25">
      <c r="A220">
        <v>112</v>
      </c>
      <c r="B220" s="1" t="s">
        <v>164</v>
      </c>
      <c r="C220">
        <v>366</v>
      </c>
      <c r="D220">
        <v>1</v>
      </c>
      <c r="E220" t="b">
        <v>0</v>
      </c>
      <c r="F220" s="1" t="s">
        <v>304</v>
      </c>
      <c r="G220" s="1" t="s">
        <v>305</v>
      </c>
      <c r="H220">
        <v>366</v>
      </c>
      <c r="I220">
        <v>1</v>
      </c>
      <c r="J220">
        <v>0.27</v>
      </c>
      <c r="K220" s="1" t="s">
        <v>306</v>
      </c>
      <c r="L220">
        <v>366</v>
      </c>
      <c r="M220" s="1" t="s">
        <v>307</v>
      </c>
      <c r="N220">
        <v>1</v>
      </c>
      <c r="O220">
        <v>1.4999999999999999E-2</v>
      </c>
      <c r="P220" s="1" t="s">
        <v>306</v>
      </c>
      <c r="Q220">
        <v>366</v>
      </c>
      <c r="R220" s="1" t="s">
        <v>308</v>
      </c>
      <c r="S220">
        <v>1</v>
      </c>
      <c r="T220">
        <v>0.13</v>
      </c>
      <c r="U220" s="1" t="s">
        <v>306</v>
      </c>
      <c r="V220">
        <v>366</v>
      </c>
      <c r="W220" s="1" t="s">
        <v>309</v>
      </c>
      <c r="X220">
        <v>1</v>
      </c>
      <c r="Y220">
        <v>2.5000000000000001E-2</v>
      </c>
      <c r="Z220" s="1" t="s">
        <v>306</v>
      </c>
      <c r="AA220">
        <v>366</v>
      </c>
      <c r="AB220" s="1" t="s">
        <v>310</v>
      </c>
      <c r="AC220">
        <v>1</v>
      </c>
      <c r="AD220">
        <v>11.100669999999999</v>
      </c>
      <c r="AE220" s="1" t="s">
        <v>311</v>
      </c>
      <c r="AF220">
        <v>366</v>
      </c>
      <c r="AG220" s="1" t="s">
        <v>312</v>
      </c>
      <c r="AH220">
        <v>1</v>
      </c>
      <c r="AI220">
        <v>0.13</v>
      </c>
      <c r="AJ220" s="1" t="s">
        <v>306</v>
      </c>
      <c r="AK220">
        <v>366</v>
      </c>
      <c r="AL220" s="1" t="s">
        <v>313</v>
      </c>
      <c r="AM220">
        <v>1</v>
      </c>
      <c r="AN220">
        <v>0</v>
      </c>
      <c r="AO220" s="1" t="s">
        <v>306</v>
      </c>
      <c r="AP220">
        <v>366</v>
      </c>
      <c r="AQ220" s="1" t="s">
        <v>314</v>
      </c>
      <c r="AR220">
        <v>1</v>
      </c>
      <c r="AS220">
        <v>0.68</v>
      </c>
      <c r="AT220" s="1" t="s">
        <v>306</v>
      </c>
      <c r="AU220">
        <v>366</v>
      </c>
      <c r="AV220" s="1" t="s">
        <v>315</v>
      </c>
      <c r="AW220">
        <v>1</v>
      </c>
      <c r="AX220" t="b">
        <v>0</v>
      </c>
      <c r="AY220" s="1" t="s">
        <v>316</v>
      </c>
      <c r="AZ220">
        <v>366</v>
      </c>
      <c r="BA220" s="1" t="s">
        <v>317</v>
      </c>
    </row>
    <row r="221" spans="1:53" x14ac:dyDescent="0.25">
      <c r="A221">
        <v>35</v>
      </c>
      <c r="B221" s="1" t="s">
        <v>87</v>
      </c>
      <c r="C221">
        <v>209</v>
      </c>
      <c r="D221">
        <v>15.827500000000001</v>
      </c>
      <c r="E221" t="b">
        <v>1</v>
      </c>
      <c r="F221" s="1">
        <v>209</v>
      </c>
      <c r="G221" s="1" t="s">
        <v>305</v>
      </c>
      <c r="H221">
        <v>209</v>
      </c>
      <c r="I221">
        <v>1</v>
      </c>
      <c r="J221">
        <v>2.9411759999999999E-2</v>
      </c>
      <c r="K221" s="1" t="s">
        <v>306</v>
      </c>
      <c r="L221">
        <v>209</v>
      </c>
      <c r="M221" s="1" t="s">
        <v>307</v>
      </c>
      <c r="N221">
        <v>1</v>
      </c>
      <c r="O221">
        <v>0.69905879999999998</v>
      </c>
      <c r="P221" s="1" t="s">
        <v>306</v>
      </c>
      <c r="Q221">
        <v>209</v>
      </c>
      <c r="R221" s="1" t="s">
        <v>308</v>
      </c>
      <c r="S221">
        <v>1</v>
      </c>
      <c r="T221">
        <v>0.10589999999999999</v>
      </c>
      <c r="U221" s="1" t="s">
        <v>306</v>
      </c>
      <c r="V221">
        <v>209</v>
      </c>
      <c r="W221" s="1" t="s">
        <v>309</v>
      </c>
      <c r="X221">
        <v>1</v>
      </c>
      <c r="Y221">
        <v>2.47E-2</v>
      </c>
      <c r="Z221" s="1" t="s">
        <v>306</v>
      </c>
      <c r="AA221">
        <v>209</v>
      </c>
      <c r="AB221" s="1" t="s">
        <v>310</v>
      </c>
      <c r="AC221">
        <v>1</v>
      </c>
      <c r="AD221">
        <v>15.827500000000001</v>
      </c>
      <c r="AE221" s="1" t="s">
        <v>311</v>
      </c>
      <c r="AF221">
        <v>209</v>
      </c>
      <c r="AG221" s="1" t="s">
        <v>312</v>
      </c>
      <c r="AH221">
        <v>1</v>
      </c>
      <c r="AI221">
        <v>2.35E-2</v>
      </c>
      <c r="AJ221" s="1" t="s">
        <v>306</v>
      </c>
      <c r="AK221">
        <v>209</v>
      </c>
      <c r="AL221" s="1" t="s">
        <v>313</v>
      </c>
      <c r="AM221">
        <v>1</v>
      </c>
      <c r="AN221">
        <v>0</v>
      </c>
      <c r="AO221" s="1" t="s">
        <v>306</v>
      </c>
      <c r="AP221">
        <v>209</v>
      </c>
      <c r="AQ221" s="1" t="s">
        <v>314</v>
      </c>
      <c r="AR221">
        <v>1</v>
      </c>
      <c r="AS221">
        <v>0.89512999999999998</v>
      </c>
      <c r="AT221" s="1" t="s">
        <v>306</v>
      </c>
      <c r="AU221">
        <v>209</v>
      </c>
      <c r="AV221" s="1" t="s">
        <v>315</v>
      </c>
      <c r="AW221">
        <v>1</v>
      </c>
      <c r="AX221" t="b">
        <v>0</v>
      </c>
      <c r="AY221" s="1" t="s">
        <v>316</v>
      </c>
      <c r="AZ221">
        <v>209</v>
      </c>
      <c r="BA221" s="1" t="s">
        <v>317</v>
      </c>
    </row>
    <row r="222" spans="1:53" x14ac:dyDescent="0.25">
      <c r="A222">
        <v>203</v>
      </c>
      <c r="B222" s="1" t="s">
        <v>255</v>
      </c>
      <c r="C222">
        <v>595</v>
      </c>
      <c r="D222">
        <v>1</v>
      </c>
      <c r="E222" t="b">
        <v>1</v>
      </c>
      <c r="F222" s="1" t="s">
        <v>304</v>
      </c>
      <c r="G222" s="1" t="s">
        <v>305</v>
      </c>
      <c r="H222">
        <v>595</v>
      </c>
      <c r="I222">
        <v>1</v>
      </c>
      <c r="J222">
        <v>0.24399999999999999</v>
      </c>
      <c r="K222" s="1" t="s">
        <v>306</v>
      </c>
      <c r="L222">
        <v>595</v>
      </c>
      <c r="M222" s="1" t="s">
        <v>307</v>
      </c>
      <c r="N222">
        <v>1</v>
      </c>
      <c r="O222">
        <v>0.23699999999999999</v>
      </c>
      <c r="P222" s="1" t="s">
        <v>306</v>
      </c>
      <c r="Q222">
        <v>595</v>
      </c>
      <c r="R222" s="1" t="s">
        <v>308</v>
      </c>
      <c r="S222">
        <v>1</v>
      </c>
      <c r="T222">
        <v>9.0999999999999998E-2</v>
      </c>
      <c r="U222" s="1" t="s">
        <v>306</v>
      </c>
      <c r="V222">
        <v>595</v>
      </c>
      <c r="W222" s="1" t="s">
        <v>309</v>
      </c>
      <c r="X222">
        <v>1</v>
      </c>
      <c r="Y222">
        <v>0.02</v>
      </c>
      <c r="Z222" s="1" t="s">
        <v>306</v>
      </c>
      <c r="AA222">
        <v>595</v>
      </c>
      <c r="AB222" s="1" t="s">
        <v>310</v>
      </c>
      <c r="AC222">
        <v>1</v>
      </c>
      <c r="AD222">
        <v>11.43994</v>
      </c>
      <c r="AE222" s="1" t="s">
        <v>311</v>
      </c>
      <c r="AF222">
        <v>595</v>
      </c>
      <c r="AG222" s="1" t="s">
        <v>312</v>
      </c>
      <c r="AH222">
        <v>1</v>
      </c>
      <c r="AI222">
        <v>5.1999999999999998E-2</v>
      </c>
      <c r="AJ222" s="1" t="s">
        <v>306</v>
      </c>
      <c r="AK222">
        <v>595</v>
      </c>
      <c r="AL222" s="1" t="s">
        <v>313</v>
      </c>
      <c r="AM222">
        <v>1</v>
      </c>
      <c r="AN222">
        <v>0</v>
      </c>
      <c r="AO222" s="1" t="s">
        <v>306</v>
      </c>
      <c r="AP222">
        <v>595</v>
      </c>
      <c r="AQ222" s="1" t="s">
        <v>314</v>
      </c>
      <c r="AR222">
        <v>1</v>
      </c>
      <c r="AS222">
        <v>0.66500000000000004</v>
      </c>
      <c r="AT222" s="1" t="s">
        <v>306</v>
      </c>
      <c r="AU222">
        <v>595</v>
      </c>
      <c r="AV222" s="1" t="s">
        <v>315</v>
      </c>
      <c r="AW222">
        <v>1</v>
      </c>
      <c r="AX222" t="b">
        <v>0</v>
      </c>
      <c r="AY222" s="1" t="s">
        <v>316</v>
      </c>
      <c r="AZ222">
        <v>595</v>
      </c>
      <c r="BA222" s="1" t="s">
        <v>317</v>
      </c>
    </row>
    <row r="223" spans="1:53" x14ac:dyDescent="0.25">
      <c r="A223">
        <v>117</v>
      </c>
      <c r="B223" s="1" t="s">
        <v>169</v>
      </c>
      <c r="C223">
        <v>381</v>
      </c>
      <c r="D223">
        <v>1</v>
      </c>
      <c r="E223" t="b">
        <v>0</v>
      </c>
      <c r="F223" s="1" t="s">
        <v>304</v>
      </c>
      <c r="G223" s="1" t="s">
        <v>305</v>
      </c>
      <c r="H223">
        <v>381</v>
      </c>
      <c r="I223">
        <v>1</v>
      </c>
      <c r="J223">
        <v>0.124</v>
      </c>
      <c r="K223" s="1" t="s">
        <v>306</v>
      </c>
      <c r="L223">
        <v>381</v>
      </c>
      <c r="M223" s="1" t="s">
        <v>307</v>
      </c>
      <c r="N223">
        <v>1</v>
      </c>
      <c r="O223">
        <v>0.4</v>
      </c>
      <c r="P223" s="1" t="s">
        <v>306</v>
      </c>
      <c r="Q223">
        <v>381</v>
      </c>
      <c r="R223" s="1" t="s">
        <v>308</v>
      </c>
      <c r="S223">
        <v>1</v>
      </c>
      <c r="T223">
        <v>0.112</v>
      </c>
      <c r="U223" s="1" t="s">
        <v>306</v>
      </c>
      <c r="V223">
        <v>381</v>
      </c>
      <c r="W223" s="1" t="s">
        <v>309</v>
      </c>
      <c r="X223">
        <v>1</v>
      </c>
      <c r="Y223">
        <v>0</v>
      </c>
      <c r="Z223" s="1" t="s">
        <v>306</v>
      </c>
      <c r="AA223">
        <v>381</v>
      </c>
      <c r="AB223" s="1" t="s">
        <v>310</v>
      </c>
      <c r="AC223">
        <v>1</v>
      </c>
      <c r="AD223">
        <v>14.05115</v>
      </c>
      <c r="AE223" s="1" t="s">
        <v>311</v>
      </c>
      <c r="AF223">
        <v>381</v>
      </c>
      <c r="AG223" s="1" t="s">
        <v>312</v>
      </c>
      <c r="AH223">
        <v>1</v>
      </c>
      <c r="AI223">
        <v>0.09</v>
      </c>
      <c r="AJ223" s="1" t="s">
        <v>306</v>
      </c>
      <c r="AK223">
        <v>381</v>
      </c>
      <c r="AL223" s="1" t="s">
        <v>313</v>
      </c>
      <c r="AM223">
        <v>1</v>
      </c>
      <c r="AN223">
        <v>0</v>
      </c>
      <c r="AO223" s="1" t="s">
        <v>306</v>
      </c>
      <c r="AP223">
        <v>381</v>
      </c>
      <c r="AQ223" s="1" t="s">
        <v>314</v>
      </c>
      <c r="AR223">
        <v>1</v>
      </c>
      <c r="AS223">
        <v>0.89</v>
      </c>
      <c r="AT223" s="1" t="s">
        <v>306</v>
      </c>
      <c r="AU223">
        <v>381</v>
      </c>
      <c r="AV223" s="1" t="s">
        <v>315</v>
      </c>
      <c r="AW223">
        <v>1</v>
      </c>
      <c r="AX223" t="b">
        <v>0</v>
      </c>
      <c r="AY223" s="1" t="s">
        <v>316</v>
      </c>
      <c r="AZ223">
        <v>381</v>
      </c>
      <c r="BA223" s="1" t="s">
        <v>317</v>
      </c>
    </row>
    <row r="224" spans="1:53" x14ac:dyDescent="0.25">
      <c r="A224">
        <v>170</v>
      </c>
      <c r="B224" s="1" t="s">
        <v>222</v>
      </c>
      <c r="C224">
        <v>546</v>
      </c>
      <c r="D224">
        <v>1</v>
      </c>
      <c r="E224" t="b">
        <v>1</v>
      </c>
      <c r="F224" s="1" t="s">
        <v>304</v>
      </c>
      <c r="G224" s="1" t="s">
        <v>305</v>
      </c>
      <c r="H224">
        <v>546</v>
      </c>
      <c r="I224">
        <v>1</v>
      </c>
      <c r="J224">
        <v>0.25700000000000001</v>
      </c>
      <c r="K224" s="1" t="s">
        <v>306</v>
      </c>
      <c r="L224">
        <v>546</v>
      </c>
      <c r="M224" s="1" t="s">
        <v>307</v>
      </c>
      <c r="N224">
        <v>1</v>
      </c>
      <c r="O224">
        <v>4.5999999999999999E-2</v>
      </c>
      <c r="P224" s="1" t="s">
        <v>306</v>
      </c>
      <c r="Q224">
        <v>546</v>
      </c>
      <c r="R224" s="1" t="s">
        <v>308</v>
      </c>
      <c r="S224">
        <v>1</v>
      </c>
      <c r="T224">
        <v>0.161</v>
      </c>
      <c r="U224" s="1" t="s">
        <v>306</v>
      </c>
      <c r="V224">
        <v>546</v>
      </c>
      <c r="W224" s="1" t="s">
        <v>309</v>
      </c>
      <c r="X224">
        <v>1</v>
      </c>
      <c r="Y224">
        <v>4.4999999999999998E-2</v>
      </c>
      <c r="Z224" s="1" t="s">
        <v>306</v>
      </c>
      <c r="AA224">
        <v>546</v>
      </c>
      <c r="AB224" s="1" t="s">
        <v>310</v>
      </c>
      <c r="AC224">
        <v>1</v>
      </c>
      <c r="AD224">
        <v>12.590780000000001</v>
      </c>
      <c r="AE224" s="1" t="s">
        <v>311</v>
      </c>
      <c r="AF224">
        <v>546</v>
      </c>
      <c r="AG224" s="1" t="s">
        <v>312</v>
      </c>
      <c r="AH224">
        <v>1</v>
      </c>
      <c r="AI224">
        <v>0.113</v>
      </c>
      <c r="AJ224" s="1" t="s">
        <v>306</v>
      </c>
      <c r="AK224">
        <v>546</v>
      </c>
      <c r="AL224" s="1" t="s">
        <v>313</v>
      </c>
      <c r="AM224">
        <v>1</v>
      </c>
      <c r="AN224">
        <v>0</v>
      </c>
      <c r="AO224" s="1" t="s">
        <v>306</v>
      </c>
      <c r="AP224">
        <v>546</v>
      </c>
      <c r="AQ224" s="1" t="s">
        <v>314</v>
      </c>
      <c r="AR224">
        <v>1</v>
      </c>
      <c r="AS224">
        <v>0.73</v>
      </c>
      <c r="AT224" s="1" t="s">
        <v>306</v>
      </c>
      <c r="AU224">
        <v>546</v>
      </c>
      <c r="AV224" s="1" t="s">
        <v>315</v>
      </c>
      <c r="AW224">
        <v>1</v>
      </c>
      <c r="AX224" t="b">
        <v>0</v>
      </c>
      <c r="AY224" s="1" t="s">
        <v>316</v>
      </c>
      <c r="AZ224">
        <v>546</v>
      </c>
      <c r="BA224" s="1" t="s">
        <v>317</v>
      </c>
    </row>
    <row r="225" spans="1:53" x14ac:dyDescent="0.25">
      <c r="A225">
        <v>105</v>
      </c>
      <c r="B225" s="1" t="s">
        <v>157</v>
      </c>
      <c r="C225">
        <v>347</v>
      </c>
      <c r="D225">
        <v>1</v>
      </c>
      <c r="E225" t="b">
        <v>0</v>
      </c>
      <c r="F225" s="1" t="s">
        <v>304</v>
      </c>
      <c r="G225" s="1" t="s">
        <v>305</v>
      </c>
      <c r="H225">
        <v>347</v>
      </c>
      <c r="I225">
        <v>1</v>
      </c>
      <c r="J225">
        <v>0</v>
      </c>
      <c r="K225" s="1" t="s">
        <v>306</v>
      </c>
      <c r="L225">
        <v>347</v>
      </c>
      <c r="M225" s="1" t="s">
        <v>307</v>
      </c>
      <c r="N225">
        <v>1</v>
      </c>
      <c r="O225">
        <v>0</v>
      </c>
      <c r="P225" s="1" t="s">
        <v>306</v>
      </c>
      <c r="Q225">
        <v>347</v>
      </c>
      <c r="R225" s="1" t="s">
        <v>308</v>
      </c>
      <c r="S225">
        <v>1</v>
      </c>
      <c r="T225">
        <v>0</v>
      </c>
      <c r="U225" s="1" t="s">
        <v>306</v>
      </c>
      <c r="V225">
        <v>347</v>
      </c>
      <c r="W225" s="1" t="s">
        <v>309</v>
      </c>
      <c r="X225">
        <v>1</v>
      </c>
      <c r="Y225">
        <v>1</v>
      </c>
      <c r="Z225" s="1" t="s">
        <v>306</v>
      </c>
      <c r="AA225">
        <v>347</v>
      </c>
      <c r="AB225" s="1" t="s">
        <v>310</v>
      </c>
      <c r="AC225">
        <v>1</v>
      </c>
      <c r="AD225">
        <v>32.202089999999998</v>
      </c>
      <c r="AE225" s="1" t="s">
        <v>311</v>
      </c>
      <c r="AF225">
        <v>347</v>
      </c>
      <c r="AG225" s="1" t="s">
        <v>312</v>
      </c>
      <c r="AH225">
        <v>1</v>
      </c>
      <c r="AI225">
        <v>0</v>
      </c>
      <c r="AJ225" s="1" t="s">
        <v>306</v>
      </c>
      <c r="AK225">
        <v>347</v>
      </c>
      <c r="AL225" s="1" t="s">
        <v>313</v>
      </c>
      <c r="AM225">
        <v>1</v>
      </c>
      <c r="AN225">
        <v>0</v>
      </c>
      <c r="AO225" s="1" t="s">
        <v>306</v>
      </c>
      <c r="AP225">
        <v>347</v>
      </c>
      <c r="AQ225" s="1" t="s">
        <v>314</v>
      </c>
      <c r="AR225">
        <v>1</v>
      </c>
      <c r="AS225">
        <v>0.95</v>
      </c>
      <c r="AT225" s="1" t="s">
        <v>306</v>
      </c>
      <c r="AU225">
        <v>347</v>
      </c>
      <c r="AV225" s="1" t="s">
        <v>315</v>
      </c>
      <c r="AW225">
        <v>1</v>
      </c>
      <c r="AX225" t="b">
        <v>0</v>
      </c>
      <c r="AY225" s="1" t="s">
        <v>316</v>
      </c>
      <c r="AZ225">
        <v>347</v>
      </c>
      <c r="BA225" s="1" t="s">
        <v>317</v>
      </c>
    </row>
    <row r="226" spans="1:53" x14ac:dyDescent="0.25">
      <c r="A226">
        <v>79</v>
      </c>
      <c r="B226" s="1" t="s">
        <v>131</v>
      </c>
      <c r="C226">
        <v>287</v>
      </c>
      <c r="D226">
        <v>10.47472</v>
      </c>
      <c r="E226" t="b">
        <v>0</v>
      </c>
      <c r="F226" s="1">
        <v>287</v>
      </c>
      <c r="G226" s="1" t="s">
        <v>305</v>
      </c>
      <c r="H226">
        <v>287</v>
      </c>
      <c r="I226">
        <v>1</v>
      </c>
      <c r="J226">
        <v>0</v>
      </c>
      <c r="K226" s="1" t="s">
        <v>306</v>
      </c>
      <c r="L226">
        <v>287</v>
      </c>
      <c r="M226" s="1" t="s">
        <v>307</v>
      </c>
      <c r="N226">
        <v>1</v>
      </c>
      <c r="O226">
        <v>0</v>
      </c>
      <c r="P226" s="1" t="s">
        <v>306</v>
      </c>
      <c r="Q226">
        <v>287</v>
      </c>
      <c r="R226" s="1" t="s">
        <v>308</v>
      </c>
      <c r="S226">
        <v>1</v>
      </c>
      <c r="T226">
        <v>0.35384599999999999</v>
      </c>
      <c r="U226" s="1" t="s">
        <v>306</v>
      </c>
      <c r="V226">
        <v>287</v>
      </c>
      <c r="W226" s="1" t="s">
        <v>309</v>
      </c>
      <c r="X226">
        <v>1</v>
      </c>
      <c r="Y226">
        <v>4.0000000000000001E-3</v>
      </c>
      <c r="Z226" s="1" t="s">
        <v>306</v>
      </c>
      <c r="AA226">
        <v>287</v>
      </c>
      <c r="AB226" s="1" t="s">
        <v>310</v>
      </c>
      <c r="AC226">
        <v>1</v>
      </c>
      <c r="AD226">
        <v>10.47472</v>
      </c>
      <c r="AE226" s="1" t="s">
        <v>311</v>
      </c>
      <c r="AF226">
        <v>287</v>
      </c>
      <c r="AG226" s="1" t="s">
        <v>312</v>
      </c>
      <c r="AH226">
        <v>1</v>
      </c>
      <c r="AI226">
        <v>0.30769200000000002</v>
      </c>
      <c r="AJ226" s="1" t="s">
        <v>306</v>
      </c>
      <c r="AK226">
        <v>287</v>
      </c>
      <c r="AL226" s="1" t="s">
        <v>313</v>
      </c>
      <c r="AM226">
        <v>1</v>
      </c>
      <c r="AN226">
        <v>0</v>
      </c>
      <c r="AO226" s="1" t="s">
        <v>306</v>
      </c>
      <c r="AP226">
        <v>287</v>
      </c>
      <c r="AQ226" s="1" t="s">
        <v>314</v>
      </c>
      <c r="AR226">
        <v>1</v>
      </c>
      <c r="AS226">
        <v>0.71</v>
      </c>
      <c r="AT226" s="1" t="s">
        <v>306</v>
      </c>
      <c r="AU226">
        <v>287</v>
      </c>
      <c r="AV226" s="1" t="s">
        <v>315</v>
      </c>
      <c r="AW226">
        <v>1</v>
      </c>
      <c r="AX226" t="b">
        <v>0</v>
      </c>
      <c r="AY226" s="1" t="s">
        <v>316</v>
      </c>
      <c r="AZ226">
        <v>287</v>
      </c>
      <c r="BA226" s="1" t="s">
        <v>317</v>
      </c>
    </row>
    <row r="227" spans="1:53" x14ac:dyDescent="0.25">
      <c r="A227">
        <v>30</v>
      </c>
      <c r="B227" s="1" t="s">
        <v>82</v>
      </c>
      <c r="C227">
        <v>203</v>
      </c>
      <c r="D227">
        <v>16.06155</v>
      </c>
      <c r="E227" t="b">
        <v>1</v>
      </c>
      <c r="F227" s="1">
        <v>203</v>
      </c>
      <c r="G227" s="1" t="s">
        <v>305</v>
      </c>
      <c r="H227">
        <v>203</v>
      </c>
      <c r="I227">
        <v>1</v>
      </c>
      <c r="J227">
        <v>2.823529E-2</v>
      </c>
      <c r="K227" s="1" t="s">
        <v>306</v>
      </c>
      <c r="L227">
        <v>203</v>
      </c>
      <c r="M227" s="1" t="s">
        <v>307</v>
      </c>
      <c r="N227">
        <v>1</v>
      </c>
      <c r="O227">
        <v>0.71199999999999997</v>
      </c>
      <c r="P227" s="1" t="s">
        <v>306</v>
      </c>
      <c r="Q227">
        <v>203</v>
      </c>
      <c r="R227" s="1" t="s">
        <v>308</v>
      </c>
      <c r="S227">
        <v>1</v>
      </c>
      <c r="T227">
        <v>0.1153</v>
      </c>
      <c r="U227" s="1" t="s">
        <v>306</v>
      </c>
      <c r="V227">
        <v>203</v>
      </c>
      <c r="W227" s="1" t="s">
        <v>309</v>
      </c>
      <c r="X227">
        <v>1</v>
      </c>
      <c r="Y227">
        <v>2.47E-2</v>
      </c>
      <c r="Z227" s="1" t="s">
        <v>306</v>
      </c>
      <c r="AA227">
        <v>203</v>
      </c>
      <c r="AB227" s="1" t="s">
        <v>310</v>
      </c>
      <c r="AC227">
        <v>1</v>
      </c>
      <c r="AD227">
        <v>16.06155</v>
      </c>
      <c r="AE227" s="1" t="s">
        <v>311</v>
      </c>
      <c r="AF227">
        <v>203</v>
      </c>
      <c r="AG227" s="1" t="s">
        <v>312</v>
      </c>
      <c r="AH227">
        <v>1</v>
      </c>
      <c r="AI227">
        <v>1.7646999999999999E-2</v>
      </c>
      <c r="AJ227" s="1" t="s">
        <v>306</v>
      </c>
      <c r="AK227">
        <v>203</v>
      </c>
      <c r="AL227" s="1" t="s">
        <v>313</v>
      </c>
      <c r="AM227">
        <v>1</v>
      </c>
      <c r="AN227">
        <v>0</v>
      </c>
      <c r="AO227" s="1" t="s">
        <v>306</v>
      </c>
      <c r="AP227">
        <v>203</v>
      </c>
      <c r="AQ227" s="1" t="s">
        <v>314</v>
      </c>
      <c r="AR227">
        <v>1</v>
      </c>
      <c r="AS227">
        <v>0.9</v>
      </c>
      <c r="AT227" s="1" t="s">
        <v>306</v>
      </c>
      <c r="AU227">
        <v>203</v>
      </c>
      <c r="AV227" s="1" t="s">
        <v>315</v>
      </c>
      <c r="AW227">
        <v>1</v>
      </c>
      <c r="AX227" t="b">
        <v>0</v>
      </c>
      <c r="AY227" s="1" t="s">
        <v>316</v>
      </c>
      <c r="AZ227">
        <v>203</v>
      </c>
      <c r="BA227" s="1" t="s">
        <v>317</v>
      </c>
    </row>
    <row r="228" spans="1:53" x14ac:dyDescent="0.25">
      <c r="A228">
        <v>196</v>
      </c>
      <c r="B228" s="1" t="s">
        <v>248</v>
      </c>
      <c r="C228">
        <v>588</v>
      </c>
      <c r="D228">
        <v>1</v>
      </c>
      <c r="E228" t="b">
        <v>1</v>
      </c>
      <c r="F228" s="1" t="s">
        <v>304</v>
      </c>
      <c r="G228" s="1" t="s">
        <v>305</v>
      </c>
      <c r="H228">
        <v>588</v>
      </c>
      <c r="I228">
        <v>1</v>
      </c>
      <c r="J228">
        <v>0.22</v>
      </c>
      <c r="K228" s="1" t="s">
        <v>306</v>
      </c>
      <c r="L228">
        <v>588</v>
      </c>
      <c r="M228" s="1" t="s">
        <v>307</v>
      </c>
      <c r="N228">
        <v>1</v>
      </c>
      <c r="O228">
        <v>0.27</v>
      </c>
      <c r="P228" s="1" t="s">
        <v>306</v>
      </c>
      <c r="Q228">
        <v>588</v>
      </c>
      <c r="R228" s="1" t="s">
        <v>308</v>
      </c>
      <c r="S228">
        <v>1</v>
      </c>
      <c r="T228">
        <v>0.12</v>
      </c>
      <c r="U228" s="1" t="s">
        <v>306</v>
      </c>
      <c r="V228">
        <v>588</v>
      </c>
      <c r="W228" s="1" t="s">
        <v>309</v>
      </c>
      <c r="X228">
        <v>1</v>
      </c>
      <c r="Y228">
        <v>0.02</v>
      </c>
      <c r="Z228" s="1" t="s">
        <v>306</v>
      </c>
      <c r="AA228">
        <v>588</v>
      </c>
      <c r="AB228" s="1" t="s">
        <v>310</v>
      </c>
      <c r="AC228">
        <v>1</v>
      </c>
      <c r="AD228">
        <v>12.266780000000001</v>
      </c>
      <c r="AE228" s="1" t="s">
        <v>311</v>
      </c>
      <c r="AF228">
        <v>588</v>
      </c>
      <c r="AG228" s="1" t="s">
        <v>312</v>
      </c>
      <c r="AH228">
        <v>1</v>
      </c>
      <c r="AI228">
        <v>0.06</v>
      </c>
      <c r="AJ228" s="1" t="s">
        <v>306</v>
      </c>
      <c r="AK228">
        <v>588</v>
      </c>
      <c r="AL228" s="1" t="s">
        <v>313</v>
      </c>
      <c r="AM228">
        <v>1</v>
      </c>
      <c r="AN228">
        <v>0</v>
      </c>
      <c r="AO228" s="1" t="s">
        <v>306</v>
      </c>
      <c r="AP228">
        <v>588</v>
      </c>
      <c r="AQ228" s="1" t="s">
        <v>314</v>
      </c>
      <c r="AR228">
        <v>1</v>
      </c>
      <c r="AS228">
        <v>0.71</v>
      </c>
      <c r="AT228" s="1" t="s">
        <v>306</v>
      </c>
      <c r="AU228">
        <v>588</v>
      </c>
      <c r="AV228" s="1" t="s">
        <v>315</v>
      </c>
      <c r="AW228">
        <v>1</v>
      </c>
      <c r="AX228" t="b">
        <v>0</v>
      </c>
      <c r="AY228" s="1" t="s">
        <v>316</v>
      </c>
      <c r="AZ228">
        <v>588</v>
      </c>
      <c r="BA228" s="1" t="s">
        <v>317</v>
      </c>
    </row>
    <row r="229" spans="1:53" x14ac:dyDescent="0.25">
      <c r="A229">
        <v>195</v>
      </c>
      <c r="B229" s="1" t="s">
        <v>247</v>
      </c>
      <c r="C229">
        <v>587</v>
      </c>
      <c r="D229">
        <v>1</v>
      </c>
      <c r="E229" t="b">
        <v>1</v>
      </c>
      <c r="F229" s="1" t="s">
        <v>304</v>
      </c>
      <c r="G229" s="1" t="s">
        <v>305</v>
      </c>
      <c r="H229">
        <v>587</v>
      </c>
      <c r="I229">
        <v>1</v>
      </c>
      <c r="J229">
        <v>0.25</v>
      </c>
      <c r="K229" s="1" t="s">
        <v>306</v>
      </c>
      <c r="L229">
        <v>587</v>
      </c>
      <c r="M229" s="1" t="s">
        <v>307</v>
      </c>
      <c r="N229">
        <v>1</v>
      </c>
      <c r="O229">
        <v>0.16</v>
      </c>
      <c r="P229" s="1" t="s">
        <v>306</v>
      </c>
      <c r="Q229">
        <v>587</v>
      </c>
      <c r="R229" s="1" t="s">
        <v>308</v>
      </c>
      <c r="S229">
        <v>1</v>
      </c>
      <c r="T229">
        <v>0.13</v>
      </c>
      <c r="U229" s="1" t="s">
        <v>306</v>
      </c>
      <c r="V229">
        <v>587</v>
      </c>
      <c r="W229" s="1" t="s">
        <v>309</v>
      </c>
      <c r="X229">
        <v>1</v>
      </c>
      <c r="Y229">
        <v>3.3000000000000002E-2</v>
      </c>
      <c r="Z229" s="1" t="s">
        <v>306</v>
      </c>
      <c r="AA229">
        <v>587</v>
      </c>
      <c r="AB229" s="1" t="s">
        <v>310</v>
      </c>
      <c r="AC229">
        <v>1</v>
      </c>
      <c r="AD229">
        <v>12.056760000000001</v>
      </c>
      <c r="AE229" s="1" t="s">
        <v>311</v>
      </c>
      <c r="AF229">
        <v>587</v>
      </c>
      <c r="AG229" s="1" t="s">
        <v>312</v>
      </c>
      <c r="AH229">
        <v>1</v>
      </c>
      <c r="AI229">
        <v>0.08</v>
      </c>
      <c r="AJ229" s="1" t="s">
        <v>306</v>
      </c>
      <c r="AK229">
        <v>587</v>
      </c>
      <c r="AL229" s="1" t="s">
        <v>313</v>
      </c>
      <c r="AM229">
        <v>1</v>
      </c>
      <c r="AN229">
        <v>0</v>
      </c>
      <c r="AO229" s="1" t="s">
        <v>306</v>
      </c>
      <c r="AP229">
        <v>587</v>
      </c>
      <c r="AQ229" s="1" t="s">
        <v>314</v>
      </c>
      <c r="AR229">
        <v>1</v>
      </c>
      <c r="AS229">
        <v>0.69499999999999995</v>
      </c>
      <c r="AT229" s="1" t="s">
        <v>306</v>
      </c>
      <c r="AU229">
        <v>587</v>
      </c>
      <c r="AV229" s="1" t="s">
        <v>315</v>
      </c>
      <c r="AW229">
        <v>1</v>
      </c>
      <c r="AX229" t="b">
        <v>0</v>
      </c>
      <c r="AY229" s="1" t="s">
        <v>316</v>
      </c>
      <c r="AZ229">
        <v>587</v>
      </c>
      <c r="BA229" s="1" t="s">
        <v>317</v>
      </c>
    </row>
    <row r="230" spans="1:53" x14ac:dyDescent="0.25">
      <c r="A230">
        <v>197</v>
      </c>
      <c r="B230" s="1" t="s">
        <v>249</v>
      </c>
      <c r="C230">
        <v>589</v>
      </c>
      <c r="D230">
        <v>1</v>
      </c>
      <c r="E230" t="b">
        <v>1</v>
      </c>
      <c r="F230" s="1" t="s">
        <v>304</v>
      </c>
      <c r="G230" s="1" t="s">
        <v>305</v>
      </c>
      <c r="H230">
        <v>589</v>
      </c>
      <c r="I230">
        <v>1</v>
      </c>
      <c r="J230">
        <v>0.20499999999999999</v>
      </c>
      <c r="K230" s="1" t="s">
        <v>306</v>
      </c>
      <c r="L230">
        <v>589</v>
      </c>
      <c r="M230" s="1" t="s">
        <v>307</v>
      </c>
      <c r="N230">
        <v>1</v>
      </c>
      <c r="O230">
        <v>0.30099999999999999</v>
      </c>
      <c r="P230" s="1" t="s">
        <v>306</v>
      </c>
      <c r="Q230">
        <v>589</v>
      </c>
      <c r="R230" s="1" t="s">
        <v>308</v>
      </c>
      <c r="S230">
        <v>1</v>
      </c>
      <c r="T230">
        <v>9.8000000000000004E-2</v>
      </c>
      <c r="U230" s="1" t="s">
        <v>306</v>
      </c>
      <c r="V230">
        <v>589</v>
      </c>
      <c r="W230" s="1" t="s">
        <v>309</v>
      </c>
      <c r="X230">
        <v>1</v>
      </c>
      <c r="Y230">
        <v>0.02</v>
      </c>
      <c r="Z230" s="1" t="s">
        <v>306</v>
      </c>
      <c r="AA230">
        <v>589</v>
      </c>
      <c r="AB230" s="1" t="s">
        <v>310</v>
      </c>
      <c r="AC230">
        <v>1</v>
      </c>
      <c r="AD230">
        <v>12.60164</v>
      </c>
      <c r="AE230" s="1" t="s">
        <v>311</v>
      </c>
      <c r="AF230">
        <v>589</v>
      </c>
      <c r="AG230" s="1" t="s">
        <v>312</v>
      </c>
      <c r="AH230">
        <v>1</v>
      </c>
      <c r="AI230">
        <v>4.8000000000000001E-2</v>
      </c>
      <c r="AJ230" s="1" t="s">
        <v>306</v>
      </c>
      <c r="AK230">
        <v>589</v>
      </c>
      <c r="AL230" s="1" t="s">
        <v>313</v>
      </c>
      <c r="AM230">
        <v>1</v>
      </c>
      <c r="AN230">
        <v>0</v>
      </c>
      <c r="AO230" s="1" t="s">
        <v>306</v>
      </c>
      <c r="AP230">
        <v>589</v>
      </c>
      <c r="AQ230" s="1" t="s">
        <v>314</v>
      </c>
      <c r="AR230">
        <v>1</v>
      </c>
      <c r="AS230">
        <v>0.73</v>
      </c>
      <c r="AT230" s="1" t="s">
        <v>306</v>
      </c>
      <c r="AU230">
        <v>589</v>
      </c>
      <c r="AV230" s="1" t="s">
        <v>315</v>
      </c>
      <c r="AW230">
        <v>1</v>
      </c>
      <c r="AX230" t="b">
        <v>0</v>
      </c>
      <c r="AY230" s="1" t="s">
        <v>316</v>
      </c>
      <c r="AZ230">
        <v>589</v>
      </c>
      <c r="BA230" s="1" t="s">
        <v>317</v>
      </c>
    </row>
    <row r="231" spans="1:53" x14ac:dyDescent="0.25">
      <c r="A231">
        <v>199</v>
      </c>
      <c r="B231" s="1" t="s">
        <v>251</v>
      </c>
      <c r="C231">
        <v>591</v>
      </c>
      <c r="D231">
        <v>1</v>
      </c>
      <c r="E231" t="b">
        <v>1</v>
      </c>
      <c r="F231" s="1" t="s">
        <v>304</v>
      </c>
      <c r="G231" s="1" t="s">
        <v>305</v>
      </c>
      <c r="H231">
        <v>591</v>
      </c>
      <c r="I231">
        <v>1</v>
      </c>
      <c r="J231">
        <v>0.24399999999999999</v>
      </c>
      <c r="K231" s="1" t="s">
        <v>306</v>
      </c>
      <c r="L231">
        <v>591</v>
      </c>
      <c r="M231" s="1" t="s">
        <v>307</v>
      </c>
      <c r="N231">
        <v>1</v>
      </c>
      <c r="O231">
        <v>0.23699999999999999</v>
      </c>
      <c r="P231" s="1" t="s">
        <v>306</v>
      </c>
      <c r="Q231">
        <v>591</v>
      </c>
      <c r="R231" s="1" t="s">
        <v>308</v>
      </c>
      <c r="S231">
        <v>1</v>
      </c>
      <c r="T231">
        <v>9.0999999999999998E-2</v>
      </c>
      <c r="U231" s="1" t="s">
        <v>306</v>
      </c>
      <c r="V231">
        <v>591</v>
      </c>
      <c r="W231" s="1" t="s">
        <v>309</v>
      </c>
      <c r="X231">
        <v>1</v>
      </c>
      <c r="Y231">
        <v>0.02</v>
      </c>
      <c r="Z231" s="1" t="s">
        <v>306</v>
      </c>
      <c r="AA231">
        <v>591</v>
      </c>
      <c r="AB231" s="1" t="s">
        <v>310</v>
      </c>
      <c r="AC231">
        <v>1</v>
      </c>
      <c r="AD231">
        <v>11.43994</v>
      </c>
      <c r="AE231" s="1" t="s">
        <v>311</v>
      </c>
      <c r="AF231">
        <v>591</v>
      </c>
      <c r="AG231" s="1" t="s">
        <v>312</v>
      </c>
      <c r="AH231">
        <v>1</v>
      </c>
      <c r="AI231">
        <v>5.1999999999999998E-2</v>
      </c>
      <c r="AJ231" s="1" t="s">
        <v>306</v>
      </c>
      <c r="AK231">
        <v>591</v>
      </c>
      <c r="AL231" s="1" t="s">
        <v>313</v>
      </c>
      <c r="AM231">
        <v>1</v>
      </c>
      <c r="AN231">
        <v>0</v>
      </c>
      <c r="AO231" s="1" t="s">
        <v>306</v>
      </c>
      <c r="AP231">
        <v>591</v>
      </c>
      <c r="AQ231" s="1" t="s">
        <v>314</v>
      </c>
      <c r="AR231">
        <v>1</v>
      </c>
      <c r="AS231">
        <v>0.66500000000000004</v>
      </c>
      <c r="AT231" s="1" t="s">
        <v>306</v>
      </c>
      <c r="AU231">
        <v>591</v>
      </c>
      <c r="AV231" s="1" t="s">
        <v>315</v>
      </c>
      <c r="AW231">
        <v>1</v>
      </c>
      <c r="AX231" t="b">
        <v>0</v>
      </c>
      <c r="AY231" s="1" t="s">
        <v>316</v>
      </c>
      <c r="AZ231">
        <v>591</v>
      </c>
      <c r="BA231" s="1" t="s">
        <v>317</v>
      </c>
    </row>
    <row r="232" spans="1:53" x14ac:dyDescent="0.25">
      <c r="A232">
        <v>198</v>
      </c>
      <c r="B232" s="1" t="s">
        <v>250</v>
      </c>
      <c r="C232">
        <v>590</v>
      </c>
      <c r="D232">
        <v>1</v>
      </c>
      <c r="E232" t="b">
        <v>1</v>
      </c>
      <c r="F232" s="1" t="s">
        <v>304</v>
      </c>
      <c r="G232" s="1" t="s">
        <v>305</v>
      </c>
      <c r="H232">
        <v>590</v>
      </c>
      <c r="I232">
        <v>1</v>
      </c>
      <c r="J232">
        <v>0.222</v>
      </c>
      <c r="K232" s="1" t="s">
        <v>306</v>
      </c>
      <c r="L232">
        <v>590</v>
      </c>
      <c r="M232" s="1" t="s">
        <v>307</v>
      </c>
      <c r="N232">
        <v>1</v>
      </c>
      <c r="O232">
        <v>0.26700000000000002</v>
      </c>
      <c r="P232" s="1" t="s">
        <v>306</v>
      </c>
      <c r="Q232">
        <v>590</v>
      </c>
      <c r="R232" s="1" t="s">
        <v>308</v>
      </c>
      <c r="S232">
        <v>1</v>
      </c>
      <c r="T232">
        <v>9.4E-2</v>
      </c>
      <c r="U232" s="1" t="s">
        <v>306</v>
      </c>
      <c r="V232">
        <v>590</v>
      </c>
      <c r="W232" s="1" t="s">
        <v>309</v>
      </c>
      <c r="X232">
        <v>1</v>
      </c>
      <c r="Y232">
        <v>0.02</v>
      </c>
      <c r="Z232" s="1" t="s">
        <v>306</v>
      </c>
      <c r="AA232">
        <v>590</v>
      </c>
      <c r="AB232" s="1" t="s">
        <v>310</v>
      </c>
      <c r="AC232">
        <v>1</v>
      </c>
      <c r="AD232">
        <v>12.08174</v>
      </c>
      <c r="AE232" s="1" t="s">
        <v>311</v>
      </c>
      <c r="AF232">
        <v>590</v>
      </c>
      <c r="AG232" s="1" t="s">
        <v>312</v>
      </c>
      <c r="AH232">
        <v>1</v>
      </c>
      <c r="AI232">
        <v>4.8000000000000001E-2</v>
      </c>
      <c r="AJ232" s="1" t="s">
        <v>306</v>
      </c>
      <c r="AK232">
        <v>590</v>
      </c>
      <c r="AL232" s="1" t="s">
        <v>313</v>
      </c>
      <c r="AM232">
        <v>1</v>
      </c>
      <c r="AN232">
        <v>0</v>
      </c>
      <c r="AO232" s="1" t="s">
        <v>306</v>
      </c>
      <c r="AP232">
        <v>590</v>
      </c>
      <c r="AQ232" s="1" t="s">
        <v>314</v>
      </c>
      <c r="AR232">
        <v>1</v>
      </c>
      <c r="AS232">
        <v>0.7</v>
      </c>
      <c r="AT232" s="1" t="s">
        <v>306</v>
      </c>
      <c r="AU232">
        <v>590</v>
      </c>
      <c r="AV232" s="1" t="s">
        <v>315</v>
      </c>
      <c r="AW232">
        <v>1</v>
      </c>
      <c r="AX232" t="b">
        <v>0</v>
      </c>
      <c r="AY232" s="1" t="s">
        <v>316</v>
      </c>
      <c r="AZ232">
        <v>590</v>
      </c>
      <c r="BA232" s="1" t="s">
        <v>317</v>
      </c>
    </row>
    <row r="233" spans="1:53" x14ac:dyDescent="0.25">
      <c r="A233">
        <v>50</v>
      </c>
      <c r="B233" s="1" t="s">
        <v>102</v>
      </c>
      <c r="C233">
        <v>232</v>
      </c>
      <c r="D233">
        <v>13.188650000000001</v>
      </c>
      <c r="E233" t="b">
        <v>0</v>
      </c>
      <c r="F233" s="1">
        <v>232</v>
      </c>
      <c r="G233" s="1" t="s">
        <v>305</v>
      </c>
      <c r="H233">
        <v>232</v>
      </c>
      <c r="I233">
        <v>1</v>
      </c>
      <c r="J233">
        <v>9.2999999999999999E-2</v>
      </c>
      <c r="K233" s="1" t="s">
        <v>306</v>
      </c>
      <c r="L233">
        <v>232</v>
      </c>
      <c r="M233" s="1" t="s">
        <v>307</v>
      </c>
      <c r="N233">
        <v>1</v>
      </c>
      <c r="O233">
        <v>0.26600000000000001</v>
      </c>
      <c r="P233" s="1" t="s">
        <v>306</v>
      </c>
      <c r="Q233">
        <v>232</v>
      </c>
      <c r="R233" s="1" t="s">
        <v>308</v>
      </c>
      <c r="S233">
        <v>1</v>
      </c>
      <c r="T233">
        <v>0.17699999999999999</v>
      </c>
      <c r="U233" s="1" t="s">
        <v>306</v>
      </c>
      <c r="V233">
        <v>232</v>
      </c>
      <c r="W233" s="1" t="s">
        <v>309</v>
      </c>
      <c r="X233">
        <v>1</v>
      </c>
      <c r="Y233">
        <v>4.9000000000000002E-2</v>
      </c>
      <c r="Z233" s="1" t="s">
        <v>306</v>
      </c>
      <c r="AA233">
        <v>232</v>
      </c>
      <c r="AB233" s="1" t="s">
        <v>310</v>
      </c>
      <c r="AC233">
        <v>1</v>
      </c>
      <c r="AD233">
        <v>13.188650000000001</v>
      </c>
      <c r="AE233" s="1" t="s">
        <v>311</v>
      </c>
      <c r="AF233">
        <v>232</v>
      </c>
      <c r="AG233" s="1" t="s">
        <v>312</v>
      </c>
      <c r="AH233">
        <v>1</v>
      </c>
      <c r="AI233">
        <v>5.2999999999999999E-2</v>
      </c>
      <c r="AJ233" s="1" t="s">
        <v>306</v>
      </c>
      <c r="AK233">
        <v>232</v>
      </c>
      <c r="AL233" s="1" t="s">
        <v>313</v>
      </c>
      <c r="AM233">
        <v>1</v>
      </c>
      <c r="AN233">
        <v>0</v>
      </c>
      <c r="AO233" s="1" t="s">
        <v>306</v>
      </c>
      <c r="AP233">
        <v>232</v>
      </c>
      <c r="AQ233" s="1" t="s">
        <v>314</v>
      </c>
      <c r="AR233">
        <v>1</v>
      </c>
      <c r="AS233">
        <v>0.71</v>
      </c>
      <c r="AT233" s="1" t="s">
        <v>306</v>
      </c>
      <c r="AU233">
        <v>232</v>
      </c>
      <c r="AV233" s="1" t="s">
        <v>315</v>
      </c>
      <c r="AW233">
        <v>1</v>
      </c>
      <c r="AX233" t="b">
        <v>0</v>
      </c>
      <c r="AY233" s="1" t="s">
        <v>316</v>
      </c>
      <c r="AZ233">
        <v>232</v>
      </c>
      <c r="BA233" s="1" t="s">
        <v>317</v>
      </c>
    </row>
    <row r="234" spans="1:53" x14ac:dyDescent="0.25">
      <c r="A234">
        <v>52</v>
      </c>
      <c r="B234" s="1" t="s">
        <v>104</v>
      </c>
      <c r="C234">
        <v>235</v>
      </c>
      <c r="D234">
        <v>17.357150000000001</v>
      </c>
      <c r="E234" t="b">
        <v>0</v>
      </c>
      <c r="F234" s="1">
        <v>235</v>
      </c>
      <c r="G234" s="1" t="s">
        <v>305</v>
      </c>
      <c r="H234">
        <v>235</v>
      </c>
      <c r="I234">
        <v>1</v>
      </c>
      <c r="J234">
        <v>4.8000000000000001E-2</v>
      </c>
      <c r="K234" s="1" t="s">
        <v>306</v>
      </c>
      <c r="L234">
        <v>235</v>
      </c>
      <c r="M234" s="1" t="s">
        <v>307</v>
      </c>
      <c r="N234">
        <v>1</v>
      </c>
      <c r="O234">
        <v>0.38600000000000001</v>
      </c>
      <c r="P234" s="1" t="s">
        <v>306</v>
      </c>
      <c r="Q234">
        <v>235</v>
      </c>
      <c r="R234" s="1" t="s">
        <v>308</v>
      </c>
      <c r="S234">
        <v>1</v>
      </c>
      <c r="T234">
        <v>0.27</v>
      </c>
      <c r="U234" s="1" t="s">
        <v>306</v>
      </c>
      <c r="V234">
        <v>235</v>
      </c>
      <c r="W234" s="1" t="s">
        <v>309</v>
      </c>
      <c r="X234">
        <v>1</v>
      </c>
      <c r="Y234">
        <v>8.2000000000000003E-2</v>
      </c>
      <c r="Z234" s="1" t="s">
        <v>306</v>
      </c>
      <c r="AA234">
        <v>235</v>
      </c>
      <c r="AB234" s="1" t="s">
        <v>310</v>
      </c>
      <c r="AC234">
        <v>1</v>
      </c>
      <c r="AD234">
        <v>17.357150000000001</v>
      </c>
      <c r="AE234" s="1" t="s">
        <v>311</v>
      </c>
      <c r="AF234">
        <v>235</v>
      </c>
      <c r="AG234" s="1" t="s">
        <v>312</v>
      </c>
      <c r="AH234">
        <v>1</v>
      </c>
      <c r="AI234">
        <v>4.4999999999999998E-2</v>
      </c>
      <c r="AJ234" s="1" t="s">
        <v>306</v>
      </c>
      <c r="AK234">
        <v>235</v>
      </c>
      <c r="AL234" s="1" t="s">
        <v>313</v>
      </c>
      <c r="AM234">
        <v>1</v>
      </c>
      <c r="AN234">
        <v>0</v>
      </c>
      <c r="AO234" s="1" t="s">
        <v>306</v>
      </c>
      <c r="AP234">
        <v>235</v>
      </c>
      <c r="AQ234" s="1" t="s">
        <v>314</v>
      </c>
      <c r="AR234">
        <v>1</v>
      </c>
      <c r="AS234">
        <v>0.88780000000000003</v>
      </c>
      <c r="AT234" s="1" t="s">
        <v>306</v>
      </c>
      <c r="AU234">
        <v>235</v>
      </c>
      <c r="AV234" s="1" t="s">
        <v>315</v>
      </c>
      <c r="AW234">
        <v>1</v>
      </c>
      <c r="AX234" t="b">
        <v>0</v>
      </c>
      <c r="AY234" s="1" t="s">
        <v>316</v>
      </c>
      <c r="AZ234">
        <v>235</v>
      </c>
      <c r="BA234" s="1" t="s">
        <v>317</v>
      </c>
    </row>
    <row r="235" spans="1:53" x14ac:dyDescent="0.25">
      <c r="A235">
        <v>49</v>
      </c>
      <c r="B235" s="1" t="s">
        <v>101</v>
      </c>
      <c r="C235">
        <v>231</v>
      </c>
      <c r="D235">
        <v>16.282900000000001</v>
      </c>
      <c r="E235" t="b">
        <v>0</v>
      </c>
      <c r="F235" s="1">
        <v>231</v>
      </c>
      <c r="G235" s="1" t="s">
        <v>305</v>
      </c>
      <c r="H235">
        <v>231</v>
      </c>
      <c r="I235">
        <v>1</v>
      </c>
      <c r="J235">
        <v>7.0000000000000001E-3</v>
      </c>
      <c r="K235" s="1" t="s">
        <v>306</v>
      </c>
      <c r="L235">
        <v>231</v>
      </c>
      <c r="M235" s="1" t="s">
        <v>307</v>
      </c>
      <c r="N235">
        <v>1</v>
      </c>
      <c r="O235">
        <v>0.73499999999999999</v>
      </c>
      <c r="P235" s="1" t="s">
        <v>306</v>
      </c>
      <c r="Q235">
        <v>231</v>
      </c>
      <c r="R235" s="1" t="s">
        <v>308</v>
      </c>
      <c r="S235">
        <v>1</v>
      </c>
      <c r="T235">
        <v>0.12</v>
      </c>
      <c r="U235" s="1" t="s">
        <v>306</v>
      </c>
      <c r="V235">
        <v>231</v>
      </c>
      <c r="W235" s="1" t="s">
        <v>309</v>
      </c>
      <c r="X235">
        <v>1</v>
      </c>
      <c r="Y235">
        <v>2.3E-2</v>
      </c>
      <c r="Z235" s="1" t="s">
        <v>306</v>
      </c>
      <c r="AA235">
        <v>231</v>
      </c>
      <c r="AB235" s="1" t="s">
        <v>310</v>
      </c>
      <c r="AC235">
        <v>1</v>
      </c>
      <c r="AD235">
        <v>16.282900000000001</v>
      </c>
      <c r="AE235" s="1" t="s">
        <v>311</v>
      </c>
      <c r="AF235">
        <v>231</v>
      </c>
      <c r="AG235" s="1" t="s">
        <v>312</v>
      </c>
      <c r="AH235">
        <v>1</v>
      </c>
      <c r="AI235">
        <v>1.0999999999999999E-2</v>
      </c>
      <c r="AJ235" s="1" t="s">
        <v>306</v>
      </c>
      <c r="AK235">
        <v>231</v>
      </c>
      <c r="AL235" s="1" t="s">
        <v>313</v>
      </c>
      <c r="AM235">
        <v>1</v>
      </c>
      <c r="AN235">
        <v>0</v>
      </c>
      <c r="AO235" s="1" t="s">
        <v>306</v>
      </c>
      <c r="AP235">
        <v>231</v>
      </c>
      <c r="AQ235" s="1" t="s">
        <v>314</v>
      </c>
      <c r="AR235">
        <v>1</v>
      </c>
      <c r="AS235">
        <v>0.90671999999999997</v>
      </c>
      <c r="AT235" s="1" t="s">
        <v>306</v>
      </c>
      <c r="AU235">
        <v>231</v>
      </c>
      <c r="AV235" s="1" t="s">
        <v>315</v>
      </c>
      <c r="AW235">
        <v>1</v>
      </c>
      <c r="AX235" t="b">
        <v>0</v>
      </c>
      <c r="AY235" s="1" t="s">
        <v>316</v>
      </c>
      <c r="AZ235">
        <v>231</v>
      </c>
      <c r="BA235" s="1" t="s">
        <v>317</v>
      </c>
    </row>
    <row r="236" spans="1:53" x14ac:dyDescent="0.25">
      <c r="A236">
        <v>51</v>
      </c>
      <c r="B236" s="1" t="s">
        <v>103</v>
      </c>
      <c r="C236">
        <v>233</v>
      </c>
      <c r="D236">
        <v>15.83081</v>
      </c>
      <c r="E236" t="b">
        <v>0</v>
      </c>
      <c r="F236" s="1">
        <v>233</v>
      </c>
      <c r="G236" s="1" t="s">
        <v>305</v>
      </c>
      <c r="H236">
        <v>233</v>
      </c>
      <c r="I236">
        <v>1</v>
      </c>
      <c r="J236">
        <v>4.8000000000000001E-2</v>
      </c>
      <c r="K236" s="1" t="s">
        <v>306</v>
      </c>
      <c r="L236">
        <v>233</v>
      </c>
      <c r="M236" s="1" t="s">
        <v>307</v>
      </c>
      <c r="N236">
        <v>1</v>
      </c>
      <c r="O236">
        <v>0.45800000000000002</v>
      </c>
      <c r="P236" s="1" t="s">
        <v>306</v>
      </c>
      <c r="Q236">
        <v>233</v>
      </c>
      <c r="R236" s="1" t="s">
        <v>308</v>
      </c>
      <c r="S236">
        <v>1</v>
      </c>
      <c r="T236">
        <v>0.17399999999999999</v>
      </c>
      <c r="U236" s="1" t="s">
        <v>306</v>
      </c>
      <c r="V236">
        <v>233</v>
      </c>
      <c r="W236" s="1" t="s">
        <v>309</v>
      </c>
      <c r="X236">
        <v>1</v>
      </c>
      <c r="Y236">
        <v>4.9000000000000002E-2</v>
      </c>
      <c r="Z236" s="1" t="s">
        <v>306</v>
      </c>
      <c r="AA236">
        <v>233</v>
      </c>
      <c r="AB236" s="1" t="s">
        <v>310</v>
      </c>
      <c r="AC236">
        <v>1</v>
      </c>
      <c r="AD236">
        <v>15.83081</v>
      </c>
      <c r="AE236" s="1" t="s">
        <v>311</v>
      </c>
      <c r="AF236">
        <v>233</v>
      </c>
      <c r="AG236" s="1" t="s">
        <v>312</v>
      </c>
      <c r="AH236">
        <v>1</v>
      </c>
      <c r="AI236">
        <v>3.3000000000000002E-2</v>
      </c>
      <c r="AJ236" s="1" t="s">
        <v>306</v>
      </c>
      <c r="AK236">
        <v>233</v>
      </c>
      <c r="AL236" s="1" t="s">
        <v>313</v>
      </c>
      <c r="AM236">
        <v>1</v>
      </c>
      <c r="AN236">
        <v>0</v>
      </c>
      <c r="AO236" s="1" t="s">
        <v>306</v>
      </c>
      <c r="AP236">
        <v>233</v>
      </c>
      <c r="AQ236" s="1" t="s">
        <v>314</v>
      </c>
      <c r="AR236">
        <v>1</v>
      </c>
      <c r="AS236">
        <v>0.85441</v>
      </c>
      <c r="AT236" s="1" t="s">
        <v>306</v>
      </c>
      <c r="AU236">
        <v>233</v>
      </c>
      <c r="AV236" s="1" t="s">
        <v>315</v>
      </c>
      <c r="AW236">
        <v>1</v>
      </c>
      <c r="AX236" t="b">
        <v>0</v>
      </c>
      <c r="AY236" s="1" t="s">
        <v>316</v>
      </c>
      <c r="AZ236">
        <v>233</v>
      </c>
      <c r="BA236" s="1" t="s">
        <v>317</v>
      </c>
    </row>
    <row r="237" spans="1:53" x14ac:dyDescent="0.25">
      <c r="A237">
        <v>245</v>
      </c>
      <c r="B237" s="1" t="s">
        <v>296</v>
      </c>
      <c r="C237">
        <v>788</v>
      </c>
      <c r="D237">
        <v>1</v>
      </c>
      <c r="E237" t="b">
        <v>0</v>
      </c>
      <c r="F237" s="1" t="s">
        <v>304</v>
      </c>
      <c r="G237" s="1" t="s">
        <v>305</v>
      </c>
      <c r="H237">
        <v>788</v>
      </c>
      <c r="I237">
        <v>1</v>
      </c>
      <c r="J237">
        <v>0.45300000000000001</v>
      </c>
      <c r="K237" s="1" t="s">
        <v>306</v>
      </c>
      <c r="L237">
        <v>788</v>
      </c>
      <c r="M237" s="1" t="s">
        <v>307</v>
      </c>
      <c r="N237">
        <v>1</v>
      </c>
      <c r="O237">
        <v>0</v>
      </c>
      <c r="P237" s="1" t="s">
        <v>306</v>
      </c>
      <c r="Q237">
        <v>788</v>
      </c>
      <c r="R237" s="1" t="s">
        <v>308</v>
      </c>
      <c r="S237">
        <v>1</v>
      </c>
      <c r="T237">
        <v>3.3000000000000002E-2</v>
      </c>
      <c r="U237" s="1" t="s">
        <v>306</v>
      </c>
      <c r="V237">
        <v>788</v>
      </c>
      <c r="W237" s="1" t="s">
        <v>309</v>
      </c>
      <c r="X237">
        <v>1</v>
      </c>
      <c r="Y237">
        <v>1.9E-2</v>
      </c>
      <c r="Z237" s="1" t="s">
        <v>306</v>
      </c>
      <c r="AA237">
        <v>788</v>
      </c>
      <c r="AB237" s="1" t="s">
        <v>310</v>
      </c>
      <c r="AC237">
        <v>1</v>
      </c>
      <c r="AD237">
        <v>7.5193779999999997</v>
      </c>
      <c r="AE237" s="1" t="s">
        <v>311</v>
      </c>
      <c r="AF237">
        <v>788</v>
      </c>
      <c r="AG237" s="1" t="s">
        <v>312</v>
      </c>
      <c r="AH237">
        <v>1</v>
      </c>
      <c r="AI237">
        <v>3.1E-2</v>
      </c>
      <c r="AJ237" s="1" t="s">
        <v>306</v>
      </c>
      <c r="AK237">
        <v>788</v>
      </c>
      <c r="AL237" s="1" t="s">
        <v>313</v>
      </c>
      <c r="AM237">
        <v>1</v>
      </c>
      <c r="AN237">
        <v>0</v>
      </c>
      <c r="AO237" s="1" t="s">
        <v>306</v>
      </c>
      <c r="AP237">
        <v>788</v>
      </c>
      <c r="AQ237" s="1" t="s">
        <v>314</v>
      </c>
      <c r="AR237">
        <v>1</v>
      </c>
      <c r="AS237">
        <v>0.44</v>
      </c>
      <c r="AT237" s="1" t="s">
        <v>306</v>
      </c>
      <c r="AU237">
        <v>788</v>
      </c>
      <c r="AV237" s="1" t="s">
        <v>315</v>
      </c>
      <c r="AW237">
        <v>1</v>
      </c>
      <c r="AX237" t="b">
        <v>1</v>
      </c>
      <c r="AY237" s="1" t="s">
        <v>316</v>
      </c>
      <c r="AZ237">
        <v>788</v>
      </c>
      <c r="BA237" s="1" t="s">
        <v>317</v>
      </c>
    </row>
    <row r="238" spans="1:53" x14ac:dyDescent="0.25">
      <c r="A238">
        <v>99</v>
      </c>
      <c r="B238" s="1" t="s">
        <v>151</v>
      </c>
      <c r="C238">
        <v>312</v>
      </c>
      <c r="D238">
        <v>15.1008</v>
      </c>
      <c r="E238" t="b">
        <v>0</v>
      </c>
      <c r="F238" s="1">
        <v>312</v>
      </c>
      <c r="G238" s="1" t="s">
        <v>305</v>
      </c>
      <c r="H238">
        <v>312</v>
      </c>
      <c r="I238">
        <v>1</v>
      </c>
      <c r="J238">
        <v>0</v>
      </c>
      <c r="K238" s="1" t="s">
        <v>306</v>
      </c>
      <c r="L238">
        <v>312</v>
      </c>
      <c r="M238" s="1" t="s">
        <v>307</v>
      </c>
      <c r="N238">
        <v>1</v>
      </c>
      <c r="O238">
        <v>0.77500000000000002</v>
      </c>
      <c r="P238" s="1" t="s">
        <v>306</v>
      </c>
      <c r="Q238">
        <v>312</v>
      </c>
      <c r="R238" s="1" t="s">
        <v>308</v>
      </c>
      <c r="S238">
        <v>1</v>
      </c>
      <c r="T238">
        <v>0.13</v>
      </c>
      <c r="U238" s="1" t="s">
        <v>306</v>
      </c>
      <c r="V238">
        <v>312</v>
      </c>
      <c r="W238" s="1" t="s">
        <v>309</v>
      </c>
      <c r="X238">
        <v>1</v>
      </c>
      <c r="Y238">
        <v>1.0999999999999999E-2</v>
      </c>
      <c r="Z238" s="1" t="s">
        <v>306</v>
      </c>
      <c r="AA238">
        <v>312</v>
      </c>
      <c r="AB238" s="1" t="s">
        <v>310</v>
      </c>
      <c r="AC238">
        <v>1</v>
      </c>
      <c r="AD238">
        <v>15.1008</v>
      </c>
      <c r="AE238" s="1" t="s">
        <v>311</v>
      </c>
      <c r="AF238">
        <v>312</v>
      </c>
      <c r="AG238" s="1" t="s">
        <v>312</v>
      </c>
      <c r="AH238">
        <v>1</v>
      </c>
      <c r="AI238">
        <v>8.4000000000000005E-2</v>
      </c>
      <c r="AJ238" s="1" t="s">
        <v>306</v>
      </c>
      <c r="AK238">
        <v>312</v>
      </c>
      <c r="AL238" s="1" t="s">
        <v>313</v>
      </c>
      <c r="AM238">
        <v>1</v>
      </c>
      <c r="AN238">
        <v>0</v>
      </c>
      <c r="AO238" s="1" t="s">
        <v>306</v>
      </c>
      <c r="AP238">
        <v>312</v>
      </c>
      <c r="AQ238" s="1" t="s">
        <v>314</v>
      </c>
      <c r="AR238">
        <v>1</v>
      </c>
      <c r="AS238">
        <v>0.95</v>
      </c>
      <c r="AT238" s="1" t="s">
        <v>306</v>
      </c>
      <c r="AU238">
        <v>312</v>
      </c>
      <c r="AV238" s="1" t="s">
        <v>315</v>
      </c>
      <c r="AW238">
        <v>1</v>
      </c>
      <c r="AX238" t="b">
        <v>0</v>
      </c>
      <c r="AY238" s="1" t="s">
        <v>316</v>
      </c>
      <c r="AZ238">
        <v>312</v>
      </c>
      <c r="BA238" s="1" t="s">
        <v>317</v>
      </c>
    </row>
    <row r="239" spans="1:53" x14ac:dyDescent="0.25">
      <c r="A239">
        <v>101</v>
      </c>
      <c r="B239" s="1" t="s">
        <v>153</v>
      </c>
      <c r="C239">
        <v>315</v>
      </c>
      <c r="D239">
        <v>1</v>
      </c>
      <c r="E239" t="b">
        <v>0</v>
      </c>
      <c r="F239" s="1" t="s">
        <v>304</v>
      </c>
      <c r="G239" s="1" t="s">
        <v>305</v>
      </c>
      <c r="H239">
        <v>315</v>
      </c>
      <c r="I239">
        <v>1</v>
      </c>
      <c r="J239">
        <v>0</v>
      </c>
      <c r="K239" s="1" t="s">
        <v>306</v>
      </c>
      <c r="L239">
        <v>315</v>
      </c>
      <c r="M239" s="1" t="s">
        <v>307</v>
      </c>
      <c r="N239">
        <v>1</v>
      </c>
      <c r="O239">
        <v>0.84399999999999997</v>
      </c>
      <c r="P239" s="1" t="s">
        <v>306</v>
      </c>
      <c r="Q239">
        <v>315</v>
      </c>
      <c r="R239" s="1" t="s">
        <v>308</v>
      </c>
      <c r="S239">
        <v>1</v>
      </c>
      <c r="T239">
        <v>5.8999999999999997E-2</v>
      </c>
      <c r="U239" s="1" t="s">
        <v>306</v>
      </c>
      <c r="V239">
        <v>315</v>
      </c>
      <c r="W239" s="1" t="s">
        <v>309</v>
      </c>
      <c r="X239">
        <v>1</v>
      </c>
      <c r="Y239">
        <v>2E-3</v>
      </c>
      <c r="Z239" s="1" t="s">
        <v>306</v>
      </c>
      <c r="AA239">
        <v>315</v>
      </c>
      <c r="AB239" s="1" t="s">
        <v>310</v>
      </c>
      <c r="AC239">
        <v>1</v>
      </c>
      <c r="AD239">
        <v>14.42817</v>
      </c>
      <c r="AE239" s="1" t="s">
        <v>311</v>
      </c>
      <c r="AF239">
        <v>315</v>
      </c>
      <c r="AG239" s="1" t="s">
        <v>312</v>
      </c>
      <c r="AH239">
        <v>1</v>
      </c>
      <c r="AI239">
        <v>8.5000000000000006E-2</v>
      </c>
      <c r="AJ239" s="1" t="s">
        <v>306</v>
      </c>
      <c r="AK239">
        <v>315</v>
      </c>
      <c r="AL239" s="1" t="s">
        <v>313</v>
      </c>
      <c r="AM239">
        <v>1</v>
      </c>
      <c r="AN239">
        <v>0</v>
      </c>
      <c r="AO239" s="1" t="s">
        <v>306</v>
      </c>
      <c r="AP239">
        <v>315</v>
      </c>
      <c r="AQ239" s="1" t="s">
        <v>314</v>
      </c>
      <c r="AR239">
        <v>1</v>
      </c>
      <c r="AS239">
        <v>0.95</v>
      </c>
      <c r="AT239" s="1" t="s">
        <v>306</v>
      </c>
      <c r="AU239">
        <v>315</v>
      </c>
      <c r="AV239" s="1" t="s">
        <v>315</v>
      </c>
      <c r="AW239">
        <v>1</v>
      </c>
      <c r="AX239" t="b">
        <v>0</v>
      </c>
      <c r="AY239" s="1" t="s">
        <v>316</v>
      </c>
      <c r="AZ239">
        <v>315</v>
      </c>
      <c r="BA239" s="1" t="s">
        <v>317</v>
      </c>
    </row>
    <row r="240" spans="1:53" x14ac:dyDescent="0.25">
      <c r="A240">
        <v>100</v>
      </c>
      <c r="B240" s="1" t="s">
        <v>152</v>
      </c>
      <c r="C240">
        <v>314</v>
      </c>
      <c r="D240">
        <v>1</v>
      </c>
      <c r="E240" t="b">
        <v>0</v>
      </c>
      <c r="F240" s="1" t="s">
        <v>304</v>
      </c>
      <c r="G240" s="1" t="s">
        <v>305</v>
      </c>
      <c r="H240">
        <v>314</v>
      </c>
      <c r="I240">
        <v>1</v>
      </c>
      <c r="J240">
        <v>0</v>
      </c>
      <c r="K240" s="1" t="s">
        <v>306</v>
      </c>
      <c r="L240">
        <v>314</v>
      </c>
      <c r="M240" s="1" t="s">
        <v>307</v>
      </c>
      <c r="N240">
        <v>1</v>
      </c>
      <c r="O240">
        <v>0.74</v>
      </c>
      <c r="P240" s="1" t="s">
        <v>306</v>
      </c>
      <c r="Q240">
        <v>314</v>
      </c>
      <c r="R240" s="1" t="s">
        <v>308</v>
      </c>
      <c r="S240">
        <v>1</v>
      </c>
      <c r="T240">
        <v>0.13400000000000001</v>
      </c>
      <c r="U240" s="1" t="s">
        <v>306</v>
      </c>
      <c r="V240">
        <v>314</v>
      </c>
      <c r="W240" s="1" t="s">
        <v>309</v>
      </c>
      <c r="X240">
        <v>1</v>
      </c>
      <c r="Y240">
        <v>1.2999999999999999E-2</v>
      </c>
      <c r="Z240" s="1" t="s">
        <v>306</v>
      </c>
      <c r="AA240">
        <v>314</v>
      </c>
      <c r="AB240" s="1" t="s">
        <v>310</v>
      </c>
      <c r="AC240">
        <v>1</v>
      </c>
      <c r="AD240">
        <v>15.054220000000001</v>
      </c>
      <c r="AE240" s="1" t="s">
        <v>311</v>
      </c>
      <c r="AF240">
        <v>314</v>
      </c>
      <c r="AG240" s="1" t="s">
        <v>312</v>
      </c>
      <c r="AH240">
        <v>1</v>
      </c>
      <c r="AI240">
        <v>9.1999999999999998E-2</v>
      </c>
      <c r="AJ240" s="1" t="s">
        <v>306</v>
      </c>
      <c r="AK240">
        <v>314</v>
      </c>
      <c r="AL240" s="1" t="s">
        <v>313</v>
      </c>
      <c r="AM240">
        <v>1</v>
      </c>
      <c r="AN240">
        <v>0</v>
      </c>
      <c r="AO240" s="1" t="s">
        <v>306</v>
      </c>
      <c r="AP240">
        <v>314</v>
      </c>
      <c r="AQ240" s="1" t="s">
        <v>314</v>
      </c>
      <c r="AR240">
        <v>1</v>
      </c>
      <c r="AS240">
        <v>0.95</v>
      </c>
      <c r="AT240" s="1" t="s">
        <v>306</v>
      </c>
      <c r="AU240">
        <v>314</v>
      </c>
      <c r="AV240" s="1" t="s">
        <v>315</v>
      </c>
      <c r="AW240">
        <v>1</v>
      </c>
      <c r="AX240" t="b">
        <v>0</v>
      </c>
      <c r="AY240" s="1" t="s">
        <v>316</v>
      </c>
      <c r="AZ240">
        <v>314</v>
      </c>
      <c r="BA240" s="1" t="s">
        <v>317</v>
      </c>
    </row>
    <row r="241" spans="1:53" x14ac:dyDescent="0.25">
      <c r="A241">
        <v>228</v>
      </c>
      <c r="B241" s="1" t="s">
        <v>279</v>
      </c>
      <c r="C241">
        <v>715</v>
      </c>
      <c r="D241">
        <v>1</v>
      </c>
      <c r="E241" t="b">
        <v>0</v>
      </c>
      <c r="F241" s="1" t="s">
        <v>304</v>
      </c>
      <c r="G241" s="1" t="s">
        <v>305</v>
      </c>
      <c r="H241">
        <v>715</v>
      </c>
      <c r="I241">
        <v>1</v>
      </c>
      <c r="J241">
        <v>0.34</v>
      </c>
      <c r="K241" s="1" t="s">
        <v>306</v>
      </c>
      <c r="L241">
        <v>715</v>
      </c>
      <c r="M241" s="1" t="s">
        <v>307</v>
      </c>
      <c r="N241">
        <v>1</v>
      </c>
      <c r="O241">
        <v>4.4999999999999998E-2</v>
      </c>
      <c r="P241" s="1" t="s">
        <v>306</v>
      </c>
      <c r="Q241">
        <v>715</v>
      </c>
      <c r="R241" s="1" t="s">
        <v>308</v>
      </c>
      <c r="S241">
        <v>1</v>
      </c>
      <c r="T241">
        <v>0.14499999999999999</v>
      </c>
      <c r="U241" s="1" t="s">
        <v>306</v>
      </c>
      <c r="V241">
        <v>715</v>
      </c>
      <c r="W241" s="1" t="s">
        <v>309</v>
      </c>
      <c r="X241">
        <v>1</v>
      </c>
      <c r="Y241">
        <v>1.4E-2</v>
      </c>
      <c r="Z241" s="1" t="s">
        <v>306</v>
      </c>
      <c r="AA241">
        <v>715</v>
      </c>
      <c r="AB241" s="1" t="s">
        <v>310</v>
      </c>
      <c r="AC241">
        <v>1</v>
      </c>
      <c r="AD241">
        <v>9.533455</v>
      </c>
      <c r="AE241" s="1" t="s">
        <v>311</v>
      </c>
      <c r="AF241">
        <v>715</v>
      </c>
      <c r="AG241" s="1" t="s">
        <v>312</v>
      </c>
      <c r="AH241">
        <v>1</v>
      </c>
      <c r="AI241">
        <v>9.7000000000000003E-2</v>
      </c>
      <c r="AJ241" s="1" t="s">
        <v>306</v>
      </c>
      <c r="AK241">
        <v>715</v>
      </c>
      <c r="AL241" s="1" t="s">
        <v>313</v>
      </c>
      <c r="AM241">
        <v>1</v>
      </c>
      <c r="AN241">
        <v>0</v>
      </c>
      <c r="AO241" s="1" t="s">
        <v>306</v>
      </c>
      <c r="AP241">
        <v>715</v>
      </c>
      <c r="AQ241" s="1" t="s">
        <v>314</v>
      </c>
      <c r="AR241">
        <v>1</v>
      </c>
      <c r="AS241">
        <v>0.56000000000000005</v>
      </c>
      <c r="AT241" s="1" t="s">
        <v>306</v>
      </c>
      <c r="AU241">
        <v>715</v>
      </c>
      <c r="AV241" s="1" t="s">
        <v>315</v>
      </c>
      <c r="AW241">
        <v>1</v>
      </c>
      <c r="AX241" t="b">
        <v>0</v>
      </c>
      <c r="AY241" s="1" t="s">
        <v>316</v>
      </c>
      <c r="AZ241">
        <v>715</v>
      </c>
      <c r="BA241" s="1" t="s">
        <v>317</v>
      </c>
    </row>
    <row r="242" spans="1:53" x14ac:dyDescent="0.25">
      <c r="A242">
        <v>147</v>
      </c>
      <c r="B242" s="1" t="s">
        <v>199</v>
      </c>
      <c r="C242">
        <v>472</v>
      </c>
      <c r="D242">
        <v>1</v>
      </c>
      <c r="E242" t="b">
        <v>0</v>
      </c>
      <c r="F242" s="1" t="s">
        <v>304</v>
      </c>
      <c r="G242" s="1" t="s">
        <v>305</v>
      </c>
      <c r="H242">
        <v>472</v>
      </c>
      <c r="I242">
        <v>1</v>
      </c>
      <c r="J242">
        <v>0.17</v>
      </c>
      <c r="K242" s="1" t="s">
        <v>306</v>
      </c>
      <c r="L242">
        <v>472</v>
      </c>
      <c r="M242" s="1" t="s">
        <v>307</v>
      </c>
      <c r="N242">
        <v>1</v>
      </c>
      <c r="O242">
        <v>0.14000000000000001</v>
      </c>
      <c r="P242" s="1" t="s">
        <v>306</v>
      </c>
      <c r="Q242">
        <v>472</v>
      </c>
      <c r="R242" s="1" t="s">
        <v>308</v>
      </c>
      <c r="S242">
        <v>1</v>
      </c>
      <c r="T242">
        <v>0.25</v>
      </c>
      <c r="U242" s="1" t="s">
        <v>306</v>
      </c>
      <c r="V242">
        <v>472</v>
      </c>
      <c r="W242" s="1" t="s">
        <v>309</v>
      </c>
      <c r="X242">
        <v>1</v>
      </c>
      <c r="Y242">
        <v>5.6000000000000001E-2</v>
      </c>
      <c r="Z242" s="1" t="s">
        <v>306</v>
      </c>
      <c r="AA242">
        <v>472</v>
      </c>
      <c r="AB242" s="1" t="s">
        <v>310</v>
      </c>
      <c r="AC242">
        <v>1</v>
      </c>
      <c r="AD242">
        <v>14.920120000000001</v>
      </c>
      <c r="AE242" s="1" t="s">
        <v>311</v>
      </c>
      <c r="AF242">
        <v>472</v>
      </c>
      <c r="AG242" s="1" t="s">
        <v>312</v>
      </c>
      <c r="AH242">
        <v>1</v>
      </c>
      <c r="AI242">
        <v>0.11</v>
      </c>
      <c r="AJ242" s="1" t="s">
        <v>306</v>
      </c>
      <c r="AK242">
        <v>472</v>
      </c>
      <c r="AL242" s="1" t="s">
        <v>313</v>
      </c>
      <c r="AM242">
        <v>1</v>
      </c>
      <c r="AN242">
        <v>0</v>
      </c>
      <c r="AO242" s="1" t="s">
        <v>306</v>
      </c>
      <c r="AP242">
        <v>472</v>
      </c>
      <c r="AQ242" s="1" t="s">
        <v>314</v>
      </c>
      <c r="AR242">
        <v>1</v>
      </c>
      <c r="AS242">
        <v>0.83</v>
      </c>
      <c r="AT242" s="1" t="s">
        <v>306</v>
      </c>
      <c r="AU242">
        <v>472</v>
      </c>
      <c r="AV242" s="1" t="s">
        <v>315</v>
      </c>
      <c r="AW242">
        <v>1</v>
      </c>
      <c r="AX242" t="b">
        <v>0</v>
      </c>
      <c r="AY242" s="1" t="s">
        <v>316</v>
      </c>
      <c r="AZ242">
        <v>472</v>
      </c>
      <c r="BA242" s="1" t="s">
        <v>317</v>
      </c>
    </row>
    <row r="243" spans="1:53" x14ac:dyDescent="0.25">
      <c r="A243">
        <v>180</v>
      </c>
      <c r="B243" s="1" t="s">
        <v>232</v>
      </c>
      <c r="C243">
        <v>572</v>
      </c>
      <c r="D243">
        <v>1</v>
      </c>
      <c r="E243" t="b">
        <v>0</v>
      </c>
      <c r="F243" s="1" t="s">
        <v>304</v>
      </c>
      <c r="G243" s="1" t="s">
        <v>305</v>
      </c>
      <c r="H243">
        <v>572</v>
      </c>
      <c r="I243">
        <v>1</v>
      </c>
      <c r="J243">
        <v>0.2</v>
      </c>
      <c r="K243" s="1" t="s">
        <v>306</v>
      </c>
      <c r="L243">
        <v>572</v>
      </c>
      <c r="M243" s="1" t="s">
        <v>307</v>
      </c>
      <c r="N243">
        <v>1</v>
      </c>
      <c r="O243">
        <v>0.03</v>
      </c>
      <c r="P243" s="1" t="s">
        <v>306</v>
      </c>
      <c r="Q243">
        <v>572</v>
      </c>
      <c r="R243" s="1" t="s">
        <v>308</v>
      </c>
      <c r="S243">
        <v>1</v>
      </c>
      <c r="T243">
        <v>0.24</v>
      </c>
      <c r="U243" s="1" t="s">
        <v>306</v>
      </c>
      <c r="V243">
        <v>572</v>
      </c>
      <c r="W243" s="1" t="s">
        <v>309</v>
      </c>
      <c r="X243">
        <v>1</v>
      </c>
      <c r="Y243">
        <v>5.6000000000000001E-2</v>
      </c>
      <c r="Z243" s="1" t="s">
        <v>306</v>
      </c>
      <c r="AA243">
        <v>572</v>
      </c>
      <c r="AB243" s="1" t="s">
        <v>310</v>
      </c>
      <c r="AC243">
        <v>1</v>
      </c>
      <c r="AD243">
        <v>13.62384</v>
      </c>
      <c r="AE243" s="1" t="s">
        <v>311</v>
      </c>
      <c r="AF243">
        <v>572</v>
      </c>
      <c r="AG243" s="1" t="s">
        <v>312</v>
      </c>
      <c r="AH243">
        <v>1</v>
      </c>
      <c r="AI243">
        <v>0.11</v>
      </c>
      <c r="AJ243" s="1" t="s">
        <v>306</v>
      </c>
      <c r="AK243">
        <v>572</v>
      </c>
      <c r="AL243" s="1" t="s">
        <v>313</v>
      </c>
      <c r="AM243">
        <v>1</v>
      </c>
      <c r="AN243">
        <v>0</v>
      </c>
      <c r="AO243" s="1" t="s">
        <v>306</v>
      </c>
      <c r="AP243">
        <v>572</v>
      </c>
      <c r="AQ243" s="1" t="s">
        <v>314</v>
      </c>
      <c r="AR243">
        <v>1</v>
      </c>
      <c r="AS243">
        <v>0.75</v>
      </c>
      <c r="AT243" s="1" t="s">
        <v>306</v>
      </c>
      <c r="AU243">
        <v>572</v>
      </c>
      <c r="AV243" s="1" t="s">
        <v>315</v>
      </c>
      <c r="AW243">
        <v>1</v>
      </c>
      <c r="AX243" t="b">
        <v>0</v>
      </c>
      <c r="AY243" s="1" t="s">
        <v>316</v>
      </c>
      <c r="AZ243">
        <v>572</v>
      </c>
      <c r="BA243" s="1" t="s">
        <v>317</v>
      </c>
    </row>
    <row r="244" spans="1:53" x14ac:dyDescent="0.25">
      <c r="A244">
        <v>114</v>
      </c>
      <c r="B244" s="1" t="s">
        <v>166</v>
      </c>
      <c r="C244">
        <v>368</v>
      </c>
      <c r="D244">
        <v>1</v>
      </c>
      <c r="E244" t="b">
        <v>1</v>
      </c>
      <c r="F244" s="1" t="s">
        <v>304</v>
      </c>
      <c r="G244" s="1" t="s">
        <v>305</v>
      </c>
      <c r="H244">
        <v>368</v>
      </c>
      <c r="I244">
        <v>1</v>
      </c>
      <c r="J244">
        <v>0.21</v>
      </c>
      <c r="K244" s="1" t="s">
        <v>306</v>
      </c>
      <c r="L244">
        <v>368</v>
      </c>
      <c r="M244" s="1" t="s">
        <v>307</v>
      </c>
      <c r="N244">
        <v>1</v>
      </c>
      <c r="O244">
        <v>0.23499999999999999</v>
      </c>
      <c r="P244" s="1" t="s">
        <v>306</v>
      </c>
      <c r="Q244">
        <v>368</v>
      </c>
      <c r="R244" s="1" t="s">
        <v>308</v>
      </c>
      <c r="S244">
        <v>1</v>
      </c>
      <c r="T244">
        <v>0.12</v>
      </c>
      <c r="U244" s="1" t="s">
        <v>306</v>
      </c>
      <c r="V244">
        <v>368</v>
      </c>
      <c r="W244" s="1" t="s">
        <v>309</v>
      </c>
      <c r="X244">
        <v>1</v>
      </c>
      <c r="Y244">
        <v>2.5000000000000001E-2</v>
      </c>
      <c r="Z244" s="1" t="s">
        <v>306</v>
      </c>
      <c r="AA244">
        <v>368</v>
      </c>
      <c r="AB244" s="1" t="s">
        <v>310</v>
      </c>
      <c r="AC244">
        <v>1</v>
      </c>
      <c r="AD244">
        <v>12.29387</v>
      </c>
      <c r="AE244" s="1" t="s">
        <v>311</v>
      </c>
      <c r="AF244">
        <v>368</v>
      </c>
      <c r="AG244" s="1" t="s">
        <v>312</v>
      </c>
      <c r="AH244">
        <v>1</v>
      </c>
      <c r="AI244">
        <v>0.09</v>
      </c>
      <c r="AJ244" s="1" t="s">
        <v>306</v>
      </c>
      <c r="AK244">
        <v>368</v>
      </c>
      <c r="AL244" s="1" t="s">
        <v>313</v>
      </c>
      <c r="AM244">
        <v>1</v>
      </c>
      <c r="AN244">
        <v>0</v>
      </c>
      <c r="AO244" s="1" t="s">
        <v>306</v>
      </c>
      <c r="AP244">
        <v>368</v>
      </c>
      <c r="AQ244" s="1" t="s">
        <v>314</v>
      </c>
      <c r="AR244">
        <v>1</v>
      </c>
      <c r="AS244">
        <v>0.73</v>
      </c>
      <c r="AT244" s="1" t="s">
        <v>306</v>
      </c>
      <c r="AU244">
        <v>368</v>
      </c>
      <c r="AV244" s="1" t="s">
        <v>315</v>
      </c>
      <c r="AW244">
        <v>1</v>
      </c>
      <c r="AX244" t="b">
        <v>0</v>
      </c>
      <c r="AY244" s="1" t="s">
        <v>316</v>
      </c>
      <c r="AZ244">
        <v>368</v>
      </c>
      <c r="BA244" s="1" t="s">
        <v>317</v>
      </c>
    </row>
    <row r="245" spans="1:53" x14ac:dyDescent="0.25">
      <c r="A245">
        <v>189</v>
      </c>
      <c r="B245" s="1" t="s">
        <v>241</v>
      </c>
      <c r="C245">
        <v>581</v>
      </c>
      <c r="D245">
        <v>1</v>
      </c>
      <c r="E245" t="b">
        <v>1</v>
      </c>
      <c r="F245" s="1" t="s">
        <v>304</v>
      </c>
      <c r="G245" s="1" t="s">
        <v>305</v>
      </c>
      <c r="H245">
        <v>581</v>
      </c>
      <c r="I245">
        <v>1</v>
      </c>
      <c r="J245">
        <v>0.28299999999999997</v>
      </c>
      <c r="K245" s="1" t="s">
        <v>306</v>
      </c>
      <c r="L245">
        <v>581</v>
      </c>
      <c r="M245" s="1" t="s">
        <v>307</v>
      </c>
      <c r="N245">
        <v>1</v>
      </c>
      <c r="O245">
        <v>7.0000000000000007E-2</v>
      </c>
      <c r="P245" s="1" t="s">
        <v>306</v>
      </c>
      <c r="Q245">
        <v>581</v>
      </c>
      <c r="R245" s="1" t="s">
        <v>308</v>
      </c>
      <c r="S245">
        <v>1</v>
      </c>
      <c r="T245">
        <v>0.155</v>
      </c>
      <c r="U245" s="1" t="s">
        <v>306</v>
      </c>
      <c r="V245">
        <v>581</v>
      </c>
      <c r="W245" s="1" t="s">
        <v>309</v>
      </c>
      <c r="X245">
        <v>1</v>
      </c>
      <c r="Y245">
        <v>0.02</v>
      </c>
      <c r="Z245" s="1" t="s">
        <v>306</v>
      </c>
      <c r="AA245">
        <v>581</v>
      </c>
      <c r="AB245" s="1" t="s">
        <v>310</v>
      </c>
      <c r="AC245">
        <v>1</v>
      </c>
      <c r="AD245">
        <v>12.326930000000001</v>
      </c>
      <c r="AE245" s="1" t="s">
        <v>311</v>
      </c>
      <c r="AF245">
        <v>581</v>
      </c>
      <c r="AG245" s="1" t="s">
        <v>312</v>
      </c>
      <c r="AH245">
        <v>1</v>
      </c>
      <c r="AI245">
        <v>0.105</v>
      </c>
      <c r="AJ245" s="1" t="s">
        <v>306</v>
      </c>
      <c r="AK245">
        <v>581</v>
      </c>
      <c r="AL245" s="1" t="s">
        <v>313</v>
      </c>
      <c r="AM245">
        <v>1</v>
      </c>
      <c r="AN245">
        <v>0</v>
      </c>
      <c r="AO245" s="1" t="s">
        <v>306</v>
      </c>
      <c r="AP245">
        <v>581</v>
      </c>
      <c r="AQ245" s="1" t="s">
        <v>314</v>
      </c>
      <c r="AR245">
        <v>1</v>
      </c>
      <c r="AS245">
        <v>0.73499999999999999</v>
      </c>
      <c r="AT245" s="1" t="s">
        <v>306</v>
      </c>
      <c r="AU245">
        <v>581</v>
      </c>
      <c r="AV245" s="1" t="s">
        <v>315</v>
      </c>
      <c r="AW245">
        <v>1</v>
      </c>
      <c r="AX245" t="b">
        <v>0</v>
      </c>
      <c r="AY245" s="1" t="s">
        <v>316</v>
      </c>
      <c r="AZ245">
        <v>581</v>
      </c>
      <c r="BA245" s="1" t="s">
        <v>317</v>
      </c>
    </row>
    <row r="246" spans="1:53" x14ac:dyDescent="0.25">
      <c r="A246">
        <v>182</v>
      </c>
      <c r="B246" s="1" t="s">
        <v>234</v>
      </c>
      <c r="C246">
        <v>574</v>
      </c>
      <c r="D246">
        <v>1</v>
      </c>
      <c r="E246" t="b">
        <v>1</v>
      </c>
      <c r="F246" s="1" t="s">
        <v>304</v>
      </c>
      <c r="G246" s="1" t="s">
        <v>305</v>
      </c>
      <c r="H246">
        <v>574</v>
      </c>
      <c r="I246">
        <v>1</v>
      </c>
      <c r="J246">
        <v>0.27</v>
      </c>
      <c r="K246" s="1" t="s">
        <v>306</v>
      </c>
      <c r="L246">
        <v>574</v>
      </c>
      <c r="M246" s="1" t="s">
        <v>307</v>
      </c>
      <c r="N246">
        <v>1</v>
      </c>
      <c r="O246">
        <v>7.8E-2</v>
      </c>
      <c r="P246" s="1" t="s">
        <v>306</v>
      </c>
      <c r="Q246">
        <v>574</v>
      </c>
      <c r="R246" s="1" t="s">
        <v>308</v>
      </c>
      <c r="S246">
        <v>1</v>
      </c>
      <c r="T246">
        <v>0.158</v>
      </c>
      <c r="U246" s="1" t="s">
        <v>306</v>
      </c>
      <c r="V246">
        <v>574</v>
      </c>
      <c r="W246" s="1" t="s">
        <v>309</v>
      </c>
      <c r="X246">
        <v>1</v>
      </c>
      <c r="Y246">
        <v>0.02</v>
      </c>
      <c r="Z246" s="1" t="s">
        <v>306</v>
      </c>
      <c r="AA246">
        <v>574</v>
      </c>
      <c r="AB246" s="1" t="s">
        <v>310</v>
      </c>
      <c r="AC246">
        <v>1</v>
      </c>
      <c r="AD246">
        <v>12.36023</v>
      </c>
      <c r="AE246" s="1" t="s">
        <v>311</v>
      </c>
      <c r="AF246">
        <v>574</v>
      </c>
      <c r="AG246" s="1" t="s">
        <v>312</v>
      </c>
      <c r="AH246">
        <v>1</v>
      </c>
      <c r="AI246">
        <v>9.9000000000000005E-2</v>
      </c>
      <c r="AJ246" s="1" t="s">
        <v>306</v>
      </c>
      <c r="AK246">
        <v>574</v>
      </c>
      <c r="AL246" s="1" t="s">
        <v>313</v>
      </c>
      <c r="AM246">
        <v>1</v>
      </c>
      <c r="AN246">
        <v>0</v>
      </c>
      <c r="AO246" s="1" t="s">
        <v>306</v>
      </c>
      <c r="AP246">
        <v>574</v>
      </c>
      <c r="AQ246" s="1" t="s">
        <v>314</v>
      </c>
      <c r="AR246">
        <v>1</v>
      </c>
      <c r="AS246">
        <v>0.73099999999999998</v>
      </c>
      <c r="AT246" s="1" t="s">
        <v>306</v>
      </c>
      <c r="AU246">
        <v>574</v>
      </c>
      <c r="AV246" s="1" t="s">
        <v>315</v>
      </c>
      <c r="AW246">
        <v>1</v>
      </c>
      <c r="AX246" t="b">
        <v>0</v>
      </c>
      <c r="AY246" s="1" t="s">
        <v>316</v>
      </c>
      <c r="AZ246">
        <v>574</v>
      </c>
      <c r="BA246" s="1" t="s">
        <v>317</v>
      </c>
    </row>
    <row r="247" spans="1:53" x14ac:dyDescent="0.25">
      <c r="A247">
        <v>185</v>
      </c>
      <c r="B247" s="1" t="s">
        <v>237</v>
      </c>
      <c r="C247">
        <v>577</v>
      </c>
      <c r="D247">
        <v>1</v>
      </c>
      <c r="E247" t="b">
        <v>1</v>
      </c>
      <c r="F247" s="1" t="s">
        <v>304</v>
      </c>
      <c r="G247" s="1" t="s">
        <v>305</v>
      </c>
      <c r="H247">
        <v>577</v>
      </c>
      <c r="I247">
        <v>1</v>
      </c>
      <c r="J247">
        <v>0.26</v>
      </c>
      <c r="K247" s="1" t="s">
        <v>306</v>
      </c>
      <c r="L247">
        <v>577</v>
      </c>
      <c r="M247" s="1" t="s">
        <v>307</v>
      </c>
      <c r="N247">
        <v>1</v>
      </c>
      <c r="O247">
        <v>8.4000000000000005E-2</v>
      </c>
      <c r="P247" s="1" t="s">
        <v>306</v>
      </c>
      <c r="Q247">
        <v>577</v>
      </c>
      <c r="R247" s="1" t="s">
        <v>308</v>
      </c>
      <c r="S247">
        <v>1</v>
      </c>
      <c r="T247">
        <v>0.161</v>
      </c>
      <c r="U247" s="1" t="s">
        <v>306</v>
      </c>
      <c r="V247">
        <v>577</v>
      </c>
      <c r="W247" s="1" t="s">
        <v>309</v>
      </c>
      <c r="X247">
        <v>1</v>
      </c>
      <c r="Y247">
        <v>0.02</v>
      </c>
      <c r="Z247" s="1" t="s">
        <v>306</v>
      </c>
      <c r="AA247">
        <v>577</v>
      </c>
      <c r="AB247" s="1" t="s">
        <v>310</v>
      </c>
      <c r="AC247">
        <v>1</v>
      </c>
      <c r="AD247">
        <v>12.3832</v>
      </c>
      <c r="AE247" s="1" t="s">
        <v>311</v>
      </c>
      <c r="AF247">
        <v>577</v>
      </c>
      <c r="AG247" s="1" t="s">
        <v>312</v>
      </c>
      <c r="AH247">
        <v>1</v>
      </c>
      <c r="AI247">
        <v>9.5000000000000001E-2</v>
      </c>
      <c r="AJ247" s="1" t="s">
        <v>306</v>
      </c>
      <c r="AK247">
        <v>577</v>
      </c>
      <c r="AL247" s="1" t="s">
        <v>313</v>
      </c>
      <c r="AM247">
        <v>1</v>
      </c>
      <c r="AN247">
        <v>0</v>
      </c>
      <c r="AO247" s="1" t="s">
        <v>306</v>
      </c>
      <c r="AP247">
        <v>577</v>
      </c>
      <c r="AQ247" s="1" t="s">
        <v>314</v>
      </c>
      <c r="AR247">
        <v>1</v>
      </c>
      <c r="AS247">
        <v>0.72799999999999998</v>
      </c>
      <c r="AT247" s="1" t="s">
        <v>306</v>
      </c>
      <c r="AU247">
        <v>577</v>
      </c>
      <c r="AV247" s="1" t="s">
        <v>315</v>
      </c>
      <c r="AW247">
        <v>1</v>
      </c>
      <c r="AX247" t="b">
        <v>0</v>
      </c>
      <c r="AY247" s="1" t="s">
        <v>316</v>
      </c>
      <c r="AZ247">
        <v>577</v>
      </c>
      <c r="BA247" s="1" t="s">
        <v>317</v>
      </c>
    </row>
    <row r="248" spans="1:53" x14ac:dyDescent="0.25">
      <c r="A248">
        <v>186</v>
      </c>
      <c r="B248" s="1" t="s">
        <v>238</v>
      </c>
      <c r="C248">
        <v>578</v>
      </c>
      <c r="D248">
        <v>1</v>
      </c>
      <c r="E248" t="b">
        <v>1</v>
      </c>
      <c r="F248" s="1" t="s">
        <v>304</v>
      </c>
      <c r="G248" s="1" t="s">
        <v>305</v>
      </c>
      <c r="H248">
        <v>578</v>
      </c>
      <c r="I248">
        <v>1</v>
      </c>
      <c r="J248">
        <v>0.25</v>
      </c>
      <c r="K248" s="1" t="s">
        <v>306</v>
      </c>
      <c r="L248">
        <v>578</v>
      </c>
      <c r="M248" s="1" t="s">
        <v>307</v>
      </c>
      <c r="N248">
        <v>1</v>
      </c>
      <c r="O248">
        <v>0.09</v>
      </c>
      <c r="P248" s="1" t="s">
        <v>306</v>
      </c>
      <c r="Q248">
        <v>578</v>
      </c>
      <c r="R248" s="1" t="s">
        <v>308</v>
      </c>
      <c r="S248">
        <v>1</v>
      </c>
      <c r="T248">
        <v>0.16300000000000001</v>
      </c>
      <c r="U248" s="1" t="s">
        <v>306</v>
      </c>
      <c r="V248">
        <v>578</v>
      </c>
      <c r="W248" s="1" t="s">
        <v>309</v>
      </c>
      <c r="X248">
        <v>1</v>
      </c>
      <c r="Y248">
        <v>0.02</v>
      </c>
      <c r="Z248" s="1" t="s">
        <v>306</v>
      </c>
      <c r="AA248">
        <v>578</v>
      </c>
      <c r="AB248" s="1" t="s">
        <v>310</v>
      </c>
      <c r="AC248">
        <v>1</v>
      </c>
      <c r="AD248">
        <v>12.399279999999999</v>
      </c>
      <c r="AE248" s="1" t="s">
        <v>311</v>
      </c>
      <c r="AF248">
        <v>578</v>
      </c>
      <c r="AG248" s="1" t="s">
        <v>312</v>
      </c>
      <c r="AH248">
        <v>1</v>
      </c>
      <c r="AI248">
        <v>9.1002E-2</v>
      </c>
      <c r="AJ248" s="1" t="s">
        <v>306</v>
      </c>
      <c r="AK248">
        <v>578</v>
      </c>
      <c r="AL248" s="1" t="s">
        <v>313</v>
      </c>
      <c r="AM248">
        <v>1</v>
      </c>
      <c r="AN248">
        <v>0</v>
      </c>
      <c r="AO248" s="1" t="s">
        <v>306</v>
      </c>
      <c r="AP248">
        <v>578</v>
      </c>
      <c r="AQ248" s="1" t="s">
        <v>314</v>
      </c>
      <c r="AR248">
        <v>1</v>
      </c>
      <c r="AS248">
        <v>0.72499999999999998</v>
      </c>
      <c r="AT248" s="1" t="s">
        <v>306</v>
      </c>
      <c r="AU248">
        <v>578</v>
      </c>
      <c r="AV248" s="1" t="s">
        <v>315</v>
      </c>
      <c r="AW248">
        <v>1</v>
      </c>
      <c r="AX248" t="b">
        <v>0</v>
      </c>
      <c r="AY248" s="1" t="s">
        <v>316</v>
      </c>
      <c r="AZ248">
        <v>578</v>
      </c>
      <c r="BA248" s="1" t="s">
        <v>317</v>
      </c>
    </row>
    <row r="249" spans="1:53" x14ac:dyDescent="0.25">
      <c r="A249">
        <v>205</v>
      </c>
      <c r="B249" s="1" t="s">
        <v>257</v>
      </c>
      <c r="C249">
        <v>597</v>
      </c>
      <c r="D249">
        <v>1</v>
      </c>
      <c r="E249" t="b">
        <v>1</v>
      </c>
      <c r="F249" s="1" t="s">
        <v>304</v>
      </c>
      <c r="G249" s="1" t="s">
        <v>305</v>
      </c>
      <c r="H249">
        <v>597</v>
      </c>
      <c r="I249">
        <v>1</v>
      </c>
      <c r="J249">
        <v>0.27</v>
      </c>
      <c r="K249" s="1" t="s">
        <v>306</v>
      </c>
      <c r="L249">
        <v>597</v>
      </c>
      <c r="M249" s="1" t="s">
        <v>307</v>
      </c>
      <c r="N249">
        <v>1</v>
      </c>
      <c r="O249">
        <v>0.02</v>
      </c>
      <c r="P249" s="1" t="s">
        <v>306</v>
      </c>
      <c r="Q249">
        <v>597</v>
      </c>
      <c r="R249" s="1" t="s">
        <v>308</v>
      </c>
      <c r="S249">
        <v>1</v>
      </c>
      <c r="T249">
        <v>0.14099999999999999</v>
      </c>
      <c r="U249" s="1" t="s">
        <v>306</v>
      </c>
      <c r="V249">
        <v>597</v>
      </c>
      <c r="W249" s="1" t="s">
        <v>309</v>
      </c>
      <c r="X249">
        <v>1</v>
      </c>
      <c r="Y249">
        <v>3.9E-2</v>
      </c>
      <c r="Z249" s="1" t="s">
        <v>306</v>
      </c>
      <c r="AA249">
        <v>597</v>
      </c>
      <c r="AB249" s="1" t="s">
        <v>310</v>
      </c>
      <c r="AC249">
        <v>1</v>
      </c>
      <c r="AD249">
        <v>12.632350000000001</v>
      </c>
      <c r="AE249" s="1" t="s">
        <v>311</v>
      </c>
      <c r="AF249">
        <v>597</v>
      </c>
      <c r="AG249" s="1" t="s">
        <v>312</v>
      </c>
      <c r="AH249">
        <v>1</v>
      </c>
      <c r="AI249">
        <v>9.8000000000000004E-2</v>
      </c>
      <c r="AJ249" s="1" t="s">
        <v>306</v>
      </c>
      <c r="AK249">
        <v>597</v>
      </c>
      <c r="AL249" s="1" t="s">
        <v>313</v>
      </c>
      <c r="AM249">
        <v>1</v>
      </c>
      <c r="AN249">
        <v>0</v>
      </c>
      <c r="AO249" s="1" t="s">
        <v>306</v>
      </c>
      <c r="AP249">
        <v>597</v>
      </c>
      <c r="AQ249" s="1" t="s">
        <v>314</v>
      </c>
      <c r="AR249">
        <v>1</v>
      </c>
      <c r="AS249">
        <v>0.73499999999999999</v>
      </c>
      <c r="AT249" s="1" t="s">
        <v>306</v>
      </c>
      <c r="AU249">
        <v>597</v>
      </c>
      <c r="AV249" s="1" t="s">
        <v>315</v>
      </c>
      <c r="AW249">
        <v>1</v>
      </c>
      <c r="AX249" t="b">
        <v>0</v>
      </c>
      <c r="AY249" s="1" t="s">
        <v>316</v>
      </c>
      <c r="AZ249">
        <v>597</v>
      </c>
      <c r="BA249" s="1" t="s">
        <v>317</v>
      </c>
    </row>
    <row r="250" spans="1:53" x14ac:dyDescent="0.25">
      <c r="A250">
        <v>157</v>
      </c>
      <c r="B250" s="1" t="s">
        <v>209</v>
      </c>
      <c r="C250">
        <v>497</v>
      </c>
      <c r="D250">
        <v>1</v>
      </c>
      <c r="E250" t="b">
        <v>1</v>
      </c>
      <c r="F250" s="1" t="s">
        <v>304</v>
      </c>
      <c r="G250" s="1" t="s">
        <v>305</v>
      </c>
      <c r="H250">
        <v>497</v>
      </c>
      <c r="I250">
        <v>1</v>
      </c>
      <c r="J250">
        <v>0.26</v>
      </c>
      <c r="K250" s="1" t="s">
        <v>306</v>
      </c>
      <c r="L250">
        <v>497</v>
      </c>
      <c r="M250" s="1" t="s">
        <v>307</v>
      </c>
      <c r="N250">
        <v>1</v>
      </c>
      <c r="O250">
        <v>0.23</v>
      </c>
      <c r="P250" s="1" t="s">
        <v>306</v>
      </c>
      <c r="Q250">
        <v>497</v>
      </c>
      <c r="R250" s="1" t="s">
        <v>308</v>
      </c>
      <c r="S250">
        <v>1</v>
      </c>
      <c r="T250">
        <v>0.14000000000000001</v>
      </c>
      <c r="U250" s="1" t="s">
        <v>306</v>
      </c>
      <c r="V250">
        <v>497</v>
      </c>
      <c r="W250" s="1" t="s">
        <v>309</v>
      </c>
      <c r="X250">
        <v>1</v>
      </c>
      <c r="Y250">
        <v>3.9E-2</v>
      </c>
      <c r="Z250" s="1" t="s">
        <v>306</v>
      </c>
      <c r="AA250">
        <v>497</v>
      </c>
      <c r="AB250" s="1" t="s">
        <v>310</v>
      </c>
      <c r="AC250">
        <v>1</v>
      </c>
      <c r="AD250">
        <v>13.09351</v>
      </c>
      <c r="AE250" s="1" t="s">
        <v>311</v>
      </c>
      <c r="AF250">
        <v>497</v>
      </c>
      <c r="AG250" s="1" t="s">
        <v>312</v>
      </c>
      <c r="AH250">
        <v>1</v>
      </c>
      <c r="AI250">
        <v>0.08</v>
      </c>
      <c r="AJ250" s="1" t="s">
        <v>306</v>
      </c>
      <c r="AK250">
        <v>497</v>
      </c>
      <c r="AL250" s="1" t="s">
        <v>313</v>
      </c>
      <c r="AM250">
        <v>1</v>
      </c>
      <c r="AN250">
        <v>0</v>
      </c>
      <c r="AO250" s="1" t="s">
        <v>306</v>
      </c>
      <c r="AP250">
        <v>497</v>
      </c>
      <c r="AQ250" s="1" t="s">
        <v>314</v>
      </c>
      <c r="AR250">
        <v>1</v>
      </c>
      <c r="AS250">
        <v>0.75</v>
      </c>
      <c r="AT250" s="1" t="s">
        <v>306</v>
      </c>
      <c r="AU250">
        <v>497</v>
      </c>
      <c r="AV250" s="1" t="s">
        <v>315</v>
      </c>
      <c r="AW250">
        <v>1</v>
      </c>
      <c r="AX250" t="b">
        <v>0</v>
      </c>
      <c r="AY250" s="1" t="s">
        <v>316</v>
      </c>
      <c r="AZ250">
        <v>497</v>
      </c>
      <c r="BA250" s="1" t="s">
        <v>317</v>
      </c>
    </row>
    <row r="251" spans="1:53" x14ac:dyDescent="0.25">
      <c r="A251">
        <v>27</v>
      </c>
      <c r="B251" s="1" t="s">
        <v>79</v>
      </c>
      <c r="C251">
        <v>200</v>
      </c>
      <c r="D251">
        <v>15.251609999999999</v>
      </c>
      <c r="E251" t="b">
        <v>1</v>
      </c>
      <c r="F251" s="1">
        <v>200</v>
      </c>
      <c r="G251" s="1" t="s">
        <v>305</v>
      </c>
      <c r="H251">
        <v>200</v>
      </c>
      <c r="I251">
        <v>1</v>
      </c>
      <c r="J251">
        <v>5.2941170000000003E-2</v>
      </c>
      <c r="K251" s="1" t="s">
        <v>306</v>
      </c>
      <c r="L251">
        <v>200</v>
      </c>
      <c r="M251" s="1" t="s">
        <v>307</v>
      </c>
      <c r="N251">
        <v>1</v>
      </c>
      <c r="O251">
        <v>0.62117639999999996</v>
      </c>
      <c r="P251" s="1" t="s">
        <v>306</v>
      </c>
      <c r="Q251">
        <v>200</v>
      </c>
      <c r="R251" s="1" t="s">
        <v>308</v>
      </c>
      <c r="S251">
        <v>1</v>
      </c>
      <c r="T251">
        <v>0.1118</v>
      </c>
      <c r="U251" s="1" t="s">
        <v>306</v>
      </c>
      <c r="V251">
        <v>200</v>
      </c>
      <c r="W251" s="1" t="s">
        <v>309</v>
      </c>
      <c r="X251">
        <v>1</v>
      </c>
      <c r="Y251">
        <v>3.1800000000000002E-2</v>
      </c>
      <c r="Z251" s="1" t="s">
        <v>306</v>
      </c>
      <c r="AA251">
        <v>200</v>
      </c>
      <c r="AB251" s="1" t="s">
        <v>310</v>
      </c>
      <c r="AC251">
        <v>1</v>
      </c>
      <c r="AD251">
        <v>15.251609999999999</v>
      </c>
      <c r="AE251" s="1" t="s">
        <v>311</v>
      </c>
      <c r="AF251">
        <v>200</v>
      </c>
      <c r="AG251" s="1" t="s">
        <v>312</v>
      </c>
      <c r="AH251">
        <v>1</v>
      </c>
      <c r="AI251">
        <v>2.12E-2</v>
      </c>
      <c r="AJ251" s="1" t="s">
        <v>306</v>
      </c>
      <c r="AK251">
        <v>200</v>
      </c>
      <c r="AL251" s="1" t="s">
        <v>313</v>
      </c>
      <c r="AM251">
        <v>1</v>
      </c>
      <c r="AN251">
        <v>0</v>
      </c>
      <c r="AO251" s="1" t="s">
        <v>306</v>
      </c>
      <c r="AP251">
        <v>200</v>
      </c>
      <c r="AQ251" s="1" t="s">
        <v>314</v>
      </c>
      <c r="AR251">
        <v>1</v>
      </c>
      <c r="AS251">
        <v>0.85</v>
      </c>
      <c r="AT251" s="1" t="s">
        <v>306</v>
      </c>
      <c r="AU251">
        <v>200</v>
      </c>
      <c r="AV251" s="1" t="s">
        <v>315</v>
      </c>
      <c r="AW251">
        <v>1</v>
      </c>
      <c r="AX251" t="b">
        <v>0</v>
      </c>
      <c r="AY251" s="1" t="s">
        <v>316</v>
      </c>
      <c r="AZ251">
        <v>200</v>
      </c>
      <c r="BA251" s="1" t="s">
        <v>317</v>
      </c>
    </row>
    <row r="252" spans="1:53" x14ac:dyDescent="0.25">
      <c r="A252">
        <v>242</v>
      </c>
      <c r="B252" s="1" t="s">
        <v>293</v>
      </c>
      <c r="C252">
        <v>782</v>
      </c>
      <c r="D252">
        <v>1</v>
      </c>
      <c r="E252" t="b">
        <v>0</v>
      </c>
      <c r="F252" s="1" t="s">
        <v>304</v>
      </c>
      <c r="G252" s="1" t="s">
        <v>305</v>
      </c>
      <c r="H252">
        <v>782</v>
      </c>
      <c r="I252">
        <v>1</v>
      </c>
      <c r="J252">
        <v>0.45200000000000001</v>
      </c>
      <c r="K252" s="1" t="s">
        <v>306</v>
      </c>
      <c r="L252">
        <v>782</v>
      </c>
      <c r="M252" s="1" t="s">
        <v>307</v>
      </c>
      <c r="N252">
        <v>1</v>
      </c>
      <c r="O252">
        <v>0</v>
      </c>
      <c r="P252" s="1" t="s">
        <v>306</v>
      </c>
      <c r="Q252">
        <v>782</v>
      </c>
      <c r="R252" s="1" t="s">
        <v>308</v>
      </c>
      <c r="S252">
        <v>1</v>
      </c>
      <c r="T252">
        <v>0.04</v>
      </c>
      <c r="U252" s="1" t="s">
        <v>306</v>
      </c>
      <c r="V252">
        <v>782</v>
      </c>
      <c r="W252" s="1" t="s">
        <v>309</v>
      </c>
      <c r="X252">
        <v>1</v>
      </c>
      <c r="Y252">
        <v>1.9E-2</v>
      </c>
      <c r="Z252" s="1" t="s">
        <v>306</v>
      </c>
      <c r="AA252">
        <v>782</v>
      </c>
      <c r="AB252" s="1" t="s">
        <v>310</v>
      </c>
      <c r="AC252">
        <v>1</v>
      </c>
      <c r="AD252">
        <v>7.4579700000000004</v>
      </c>
      <c r="AE252" s="1" t="s">
        <v>311</v>
      </c>
      <c r="AF252">
        <v>782</v>
      </c>
      <c r="AG252" s="1" t="s">
        <v>312</v>
      </c>
      <c r="AH252">
        <v>1</v>
      </c>
      <c r="AI252">
        <v>4.4999999999999998E-2</v>
      </c>
      <c r="AJ252" s="1" t="s">
        <v>306</v>
      </c>
      <c r="AK252">
        <v>782</v>
      </c>
      <c r="AL252" s="1" t="s">
        <v>313</v>
      </c>
      <c r="AM252">
        <v>1</v>
      </c>
      <c r="AN252">
        <v>0</v>
      </c>
      <c r="AO252" s="1" t="s">
        <v>306</v>
      </c>
      <c r="AP252">
        <v>782</v>
      </c>
      <c r="AQ252" s="1" t="s">
        <v>314</v>
      </c>
      <c r="AR252">
        <v>1</v>
      </c>
      <c r="AS252">
        <v>0.44</v>
      </c>
      <c r="AT252" s="1" t="s">
        <v>306</v>
      </c>
      <c r="AU252">
        <v>782</v>
      </c>
      <c r="AV252" s="1" t="s">
        <v>315</v>
      </c>
      <c r="AW252">
        <v>1</v>
      </c>
      <c r="AX252" t="b">
        <v>1</v>
      </c>
      <c r="AY252" s="1" t="s">
        <v>316</v>
      </c>
      <c r="AZ252">
        <v>782</v>
      </c>
      <c r="BA252" s="1" t="s">
        <v>317</v>
      </c>
    </row>
    <row r="253" spans="1:53" x14ac:dyDescent="0.25">
      <c r="A253">
        <v>193</v>
      </c>
      <c r="B253" s="1" t="s">
        <v>245</v>
      </c>
      <c r="C253">
        <v>585</v>
      </c>
      <c r="D253">
        <v>1</v>
      </c>
      <c r="E253" t="b">
        <v>1</v>
      </c>
      <c r="F253" s="1" t="s">
        <v>304</v>
      </c>
      <c r="G253" s="1" t="s">
        <v>305</v>
      </c>
      <c r="H253">
        <v>585</v>
      </c>
      <c r="I253">
        <v>1</v>
      </c>
      <c r="J253">
        <v>0.245</v>
      </c>
      <c r="K253" s="1" t="s">
        <v>306</v>
      </c>
      <c r="L253">
        <v>585</v>
      </c>
      <c r="M253" s="1" t="s">
        <v>307</v>
      </c>
      <c r="N253">
        <v>1</v>
      </c>
      <c r="O253">
        <v>0.20100000000000001</v>
      </c>
      <c r="P253" s="1" t="s">
        <v>306</v>
      </c>
      <c r="Q253">
        <v>585</v>
      </c>
      <c r="R253" s="1" t="s">
        <v>308</v>
      </c>
      <c r="S253">
        <v>1</v>
      </c>
      <c r="T253">
        <v>0.10299999999999999</v>
      </c>
      <c r="U253" s="1" t="s">
        <v>306</v>
      </c>
      <c r="V253">
        <v>585</v>
      </c>
      <c r="W253" s="1" t="s">
        <v>309</v>
      </c>
      <c r="X253">
        <v>1</v>
      </c>
      <c r="Y253">
        <v>0.02</v>
      </c>
      <c r="Z253" s="1" t="s">
        <v>306</v>
      </c>
      <c r="AA253">
        <v>585</v>
      </c>
      <c r="AB253" s="1" t="s">
        <v>310</v>
      </c>
      <c r="AC253">
        <v>1</v>
      </c>
      <c r="AD253">
        <v>11.70454</v>
      </c>
      <c r="AE253" s="1" t="s">
        <v>311</v>
      </c>
      <c r="AF253">
        <v>585</v>
      </c>
      <c r="AG253" s="1" t="s">
        <v>312</v>
      </c>
      <c r="AH253">
        <v>1</v>
      </c>
      <c r="AI253">
        <v>5.7000000000000002E-2</v>
      </c>
      <c r="AJ253" s="1" t="s">
        <v>306</v>
      </c>
      <c r="AK253">
        <v>585</v>
      </c>
      <c r="AL253" s="1" t="s">
        <v>313</v>
      </c>
      <c r="AM253">
        <v>1</v>
      </c>
      <c r="AN253">
        <v>0</v>
      </c>
      <c r="AO253" s="1" t="s">
        <v>306</v>
      </c>
      <c r="AP253">
        <v>585</v>
      </c>
      <c r="AQ253" s="1" t="s">
        <v>314</v>
      </c>
      <c r="AR253">
        <v>1</v>
      </c>
      <c r="AS253">
        <v>0.68</v>
      </c>
      <c r="AT253" s="1" t="s">
        <v>306</v>
      </c>
      <c r="AU253">
        <v>585</v>
      </c>
      <c r="AV253" s="1" t="s">
        <v>315</v>
      </c>
      <c r="AW253">
        <v>1</v>
      </c>
      <c r="AX253" t="b">
        <v>0</v>
      </c>
      <c r="AY253" s="1" t="s">
        <v>316</v>
      </c>
      <c r="AZ253">
        <v>585</v>
      </c>
      <c r="BA253" s="1" t="s">
        <v>317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BA43"/>
  <sheetViews>
    <sheetView topLeftCell="A10" workbookViewId="0"/>
  </sheetViews>
  <sheetFormatPr defaultRowHeight="15" x14ac:dyDescent="0.25"/>
  <cols>
    <col min="2" max="2" width="41.5703125" customWidth="1"/>
    <col min="3" max="3" width="10.42578125" customWidth="1"/>
    <col min="4" max="4" width="10" customWidth="1"/>
    <col min="10" max="10" width="10.5703125" customWidth="1"/>
  </cols>
  <sheetData>
    <row r="1" spans="2:53" x14ac:dyDescent="0.25">
      <c r="C1" t="s">
        <v>318</v>
      </c>
      <c r="D1" t="s">
        <v>319</v>
      </c>
      <c r="E1" t="s">
        <v>320</v>
      </c>
      <c r="F1" t="s">
        <v>2</v>
      </c>
      <c r="G1" s="1"/>
      <c r="K1" s="1"/>
      <c r="M1" s="1"/>
      <c r="P1" s="1"/>
      <c r="R1" s="1"/>
      <c r="U1" s="1"/>
      <c r="W1" s="1"/>
      <c r="Z1" s="1"/>
      <c r="AB1" s="1"/>
      <c r="AE1" s="1"/>
      <c r="AG1" s="1"/>
      <c r="AJ1" s="1"/>
      <c r="AL1" s="1"/>
      <c r="AO1" s="1"/>
      <c r="AQ1" s="1"/>
      <c r="AT1" s="1"/>
      <c r="AV1" s="1"/>
      <c r="AY1" s="1"/>
      <c r="BA1" s="1"/>
    </row>
    <row r="2" spans="2:53" x14ac:dyDescent="0.25">
      <c r="B2" t="s">
        <v>187</v>
      </c>
      <c r="C2">
        <v>2</v>
      </c>
      <c r="D2">
        <v>11.470879800000001</v>
      </c>
      <c r="E2">
        <f>C2*D2</f>
        <v>22.941759600000001</v>
      </c>
      <c r="F2">
        <v>428</v>
      </c>
    </row>
    <row r="3" spans="2:53" x14ac:dyDescent="0.25">
      <c r="B3" t="s">
        <v>110</v>
      </c>
      <c r="C3">
        <v>1</v>
      </c>
      <c r="D3">
        <v>13.217085900000001</v>
      </c>
      <c r="E3">
        <f>C3*D3</f>
        <v>13.217085900000001</v>
      </c>
      <c r="F3">
        <v>246</v>
      </c>
    </row>
    <row r="4" spans="2:53" x14ac:dyDescent="0.25">
      <c r="B4" t="s">
        <v>150</v>
      </c>
      <c r="C4">
        <v>2</v>
      </c>
      <c r="D4">
        <v>15.6009645</v>
      </c>
      <c r="E4">
        <f t="shared" ref="E4:E5" si="0">C4*D4</f>
        <v>31.201929</v>
      </c>
      <c r="F4">
        <v>311</v>
      </c>
    </row>
    <row r="5" spans="2:53" x14ac:dyDescent="0.25">
      <c r="E5">
        <f t="shared" si="0"/>
        <v>0</v>
      </c>
    </row>
    <row r="6" spans="2:53" x14ac:dyDescent="0.25">
      <c r="E6">
        <f t="shared" ref="E6:E32" si="1">C6*D6</f>
        <v>0</v>
      </c>
    </row>
    <row r="7" spans="2:53" x14ac:dyDescent="0.25">
      <c r="E7">
        <f t="shared" si="1"/>
        <v>0</v>
      </c>
    </row>
    <row r="8" spans="2:53" x14ac:dyDescent="0.25">
      <c r="E8">
        <f t="shared" si="1"/>
        <v>0</v>
      </c>
    </row>
    <row r="9" spans="2:53" x14ac:dyDescent="0.25">
      <c r="E9">
        <f t="shared" si="1"/>
        <v>0</v>
      </c>
    </row>
    <row r="10" spans="2:53" x14ac:dyDescent="0.25">
      <c r="E10">
        <f t="shared" si="1"/>
        <v>0</v>
      </c>
    </row>
    <row r="11" spans="2:53" x14ac:dyDescent="0.25">
      <c r="E11">
        <f t="shared" si="1"/>
        <v>0</v>
      </c>
    </row>
    <row r="12" spans="2:53" x14ac:dyDescent="0.25">
      <c r="E12">
        <f t="shared" si="1"/>
        <v>0</v>
      </c>
    </row>
    <row r="13" spans="2:53" x14ac:dyDescent="0.25">
      <c r="E13">
        <f t="shared" si="1"/>
        <v>0</v>
      </c>
    </row>
    <row r="14" spans="2:53" x14ac:dyDescent="0.25">
      <c r="E14">
        <f t="shared" si="1"/>
        <v>0</v>
      </c>
    </row>
    <row r="15" spans="2:53" x14ac:dyDescent="0.25">
      <c r="E15">
        <f t="shared" si="1"/>
        <v>0</v>
      </c>
    </row>
    <row r="16" spans="2:53" x14ac:dyDescent="0.25">
      <c r="E16">
        <f t="shared" si="1"/>
        <v>0</v>
      </c>
    </row>
    <row r="17" spans="5:5" x14ac:dyDescent="0.25">
      <c r="E17">
        <f t="shared" si="1"/>
        <v>0</v>
      </c>
    </row>
    <row r="18" spans="5:5" x14ac:dyDescent="0.25">
      <c r="E18">
        <f t="shared" si="1"/>
        <v>0</v>
      </c>
    </row>
    <row r="19" spans="5:5" x14ac:dyDescent="0.25">
      <c r="E19">
        <f t="shared" si="1"/>
        <v>0</v>
      </c>
    </row>
    <row r="20" spans="5:5" x14ac:dyDescent="0.25">
      <c r="E20">
        <f t="shared" si="1"/>
        <v>0</v>
      </c>
    </row>
    <row r="21" spans="5:5" x14ac:dyDescent="0.25">
      <c r="E21">
        <f t="shared" si="1"/>
        <v>0</v>
      </c>
    </row>
    <row r="22" spans="5:5" x14ac:dyDescent="0.25">
      <c r="E22">
        <f t="shared" si="1"/>
        <v>0</v>
      </c>
    </row>
    <row r="23" spans="5:5" x14ac:dyDescent="0.25">
      <c r="E23">
        <f t="shared" si="1"/>
        <v>0</v>
      </c>
    </row>
    <row r="24" spans="5:5" x14ac:dyDescent="0.25">
      <c r="E24">
        <f t="shared" si="1"/>
        <v>0</v>
      </c>
    </row>
    <row r="25" spans="5:5" x14ac:dyDescent="0.25">
      <c r="E25">
        <f t="shared" si="1"/>
        <v>0</v>
      </c>
    </row>
    <row r="26" spans="5:5" x14ac:dyDescent="0.25">
      <c r="E26">
        <f t="shared" si="1"/>
        <v>0</v>
      </c>
    </row>
    <row r="27" spans="5:5" x14ac:dyDescent="0.25">
      <c r="E27">
        <f t="shared" si="1"/>
        <v>0</v>
      </c>
    </row>
    <row r="28" spans="5:5" x14ac:dyDescent="0.25">
      <c r="E28">
        <f t="shared" si="1"/>
        <v>0</v>
      </c>
    </row>
    <row r="29" spans="5:5" x14ac:dyDescent="0.25">
      <c r="E29">
        <f t="shared" si="1"/>
        <v>0</v>
      </c>
    </row>
    <row r="30" spans="5:5" x14ac:dyDescent="0.25">
      <c r="E30">
        <f t="shared" si="1"/>
        <v>0</v>
      </c>
    </row>
    <row r="31" spans="5:5" x14ac:dyDescent="0.25">
      <c r="E31">
        <f t="shared" ref="E31" si="2">C31*D31</f>
        <v>0</v>
      </c>
    </row>
    <row r="32" spans="5:5" x14ac:dyDescent="0.25">
      <c r="E32">
        <f t="shared" si="1"/>
        <v>0</v>
      </c>
    </row>
    <row r="33" spans="2:13" x14ac:dyDescent="0.25">
      <c r="B33" t="s">
        <v>321</v>
      </c>
    </row>
    <row r="36" spans="2:13" x14ac:dyDescent="0.25">
      <c r="B36" t="s">
        <v>322</v>
      </c>
      <c r="C36">
        <v>100</v>
      </c>
      <c r="D36" t="s">
        <v>324</v>
      </c>
      <c r="F36" t="s">
        <v>328</v>
      </c>
      <c r="G36">
        <f>SUM(C2:C32)</f>
        <v>5</v>
      </c>
      <c r="J36" t="s">
        <v>333</v>
      </c>
      <c r="K36">
        <v>16</v>
      </c>
      <c r="L36" t="s">
        <v>327</v>
      </c>
      <c r="M36">
        <f>0.02*(G37/G36)+0.5</f>
        <v>0.76944309799999999</v>
      </c>
    </row>
    <row r="37" spans="2:13" x14ac:dyDescent="0.25">
      <c r="B37" t="s">
        <v>341</v>
      </c>
      <c r="C37">
        <v>-1</v>
      </c>
      <c r="D37" t="s">
        <v>325</v>
      </c>
      <c r="F37" t="s">
        <v>329</v>
      </c>
      <c r="G37">
        <f>SUM(E2:E32)</f>
        <v>67.360774499999991</v>
      </c>
      <c r="J37" t="s">
        <v>337</v>
      </c>
      <c r="K37">
        <v>3</v>
      </c>
      <c r="L37" t="s">
        <v>324</v>
      </c>
      <c r="M37">
        <f>0.043*(G37/G36)</f>
        <v>0.57930266069999981</v>
      </c>
    </row>
    <row r="38" spans="2:13" x14ac:dyDescent="0.25">
      <c r="B38" t="s">
        <v>331</v>
      </c>
      <c r="C38">
        <v>1</v>
      </c>
      <c r="D38" t="s">
        <v>332</v>
      </c>
      <c r="J38" t="s">
        <v>338</v>
      </c>
      <c r="K38">
        <f>0.0458*K37*10+1.222</f>
        <v>2.5960000000000001</v>
      </c>
      <c r="L38" t="s">
        <v>330</v>
      </c>
      <c r="M38">
        <f>(0.02 * (G37/G36) + 0.4)</f>
        <v>0.6694430979999999</v>
      </c>
    </row>
    <row r="39" spans="2:13" x14ac:dyDescent="0.25">
      <c r="B39" t="s">
        <v>326</v>
      </c>
      <c r="C39">
        <f xml:space="preserve"> (1.2*0.28* POWER(C36, 0.75) *EXP(-0.03*C38))/M36 + 0.09 * G37</f>
        <v>19.463368723352261</v>
      </c>
      <c r="D39" t="s">
        <v>320</v>
      </c>
    </row>
    <row r="40" spans="2:13" x14ac:dyDescent="0.25">
      <c r="B40" t="s">
        <v>334</v>
      </c>
      <c r="C40">
        <f>IF(C37&gt;0,C37*K36/M37,M37*(G37-C39)/K36)</f>
        <v>1.7341934129399732</v>
      </c>
      <c r="D40" t="s">
        <v>335</v>
      </c>
    </row>
    <row r="41" spans="2:13" x14ac:dyDescent="0.25">
      <c r="B41" t="s">
        <v>336</v>
      </c>
      <c r="C41">
        <f>IF(C37&lt;0,0,(G37-(C39+C40))*M38/K38)</f>
        <v>0</v>
      </c>
      <c r="D41" t="s">
        <v>325</v>
      </c>
    </row>
    <row r="42" spans="2:13" x14ac:dyDescent="0.25">
      <c r="B42" t="s">
        <v>342</v>
      </c>
      <c r="C42">
        <f>IF(C37&lt;0,(G37-C39)*M36/K36,C37)</f>
        <v>2.3033955179341827</v>
      </c>
      <c r="D42" t="s">
        <v>325</v>
      </c>
    </row>
    <row r="43" spans="2:13" x14ac:dyDescent="0.25">
      <c r="B43" t="s">
        <v>340</v>
      </c>
      <c r="C43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tFeeds">
                <anchor moveWithCells="1">
                  <from>
                    <xdr:col>2</xdr:col>
                    <xdr:colOff>276225</xdr:colOff>
                    <xdr:row>32</xdr:row>
                    <xdr:rowOff>142875</xdr:rowOff>
                  </from>
                  <to>
                    <xdr:col>4</xdr:col>
                    <xdr:colOff>581025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feedtable!$B$2:$B$253</xm:f>
          </x14:formula1>
          <xm:sqref>B2:B31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BA43"/>
  <sheetViews>
    <sheetView workbookViewId="0"/>
  </sheetViews>
  <sheetFormatPr defaultRowHeight="15" x14ac:dyDescent="0.25"/>
  <cols>
    <col min="2" max="2" width="41.5703125" customWidth="1"/>
    <col min="3" max="3" width="10.42578125" customWidth="1"/>
    <col min="4" max="4" width="10" customWidth="1"/>
    <col min="10" max="10" width="10.5703125" customWidth="1"/>
  </cols>
  <sheetData>
    <row r="1" spans="2:53" x14ac:dyDescent="0.25">
      <c r="C1" t="s">
        <v>318</v>
      </c>
      <c r="D1" t="s">
        <v>319</v>
      </c>
      <c r="E1" t="s">
        <v>320</v>
      </c>
      <c r="F1" t="s">
        <v>2</v>
      </c>
      <c r="G1" s="1"/>
      <c r="K1" s="1"/>
      <c r="M1" s="1"/>
      <c r="P1" s="1"/>
      <c r="R1" s="1"/>
      <c r="U1" s="1"/>
      <c r="W1" s="1"/>
      <c r="Z1" s="1"/>
      <c r="AB1" s="1"/>
      <c r="AE1" s="1"/>
      <c r="AG1" s="1"/>
      <c r="AJ1" s="1"/>
      <c r="AL1" s="1"/>
      <c r="AO1" s="1"/>
      <c r="AQ1" s="1"/>
      <c r="AT1" s="1"/>
      <c r="AV1" s="1"/>
      <c r="AY1" s="1"/>
      <c r="BA1" s="1"/>
    </row>
    <row r="2" spans="2:53" x14ac:dyDescent="0.25">
      <c r="B2" t="s">
        <v>187</v>
      </c>
      <c r="C2">
        <v>4</v>
      </c>
      <c r="D2">
        <v>11.470879800000001</v>
      </c>
      <c r="E2">
        <f>C2*D2</f>
        <v>45.883519200000002</v>
      </c>
      <c r="F2">
        <v>428</v>
      </c>
    </row>
    <row r="3" spans="2:53" x14ac:dyDescent="0.25">
      <c r="B3" t="s">
        <v>110</v>
      </c>
      <c r="C3">
        <v>1</v>
      </c>
      <c r="D3">
        <v>13.217085900000001</v>
      </c>
      <c r="E3">
        <f>C3*D3</f>
        <v>13.217085900000001</v>
      </c>
      <c r="F3">
        <v>246</v>
      </c>
    </row>
    <row r="4" spans="2:53" x14ac:dyDescent="0.25">
      <c r="E4">
        <f t="shared" ref="E4:E32" si="0">C4*D4</f>
        <v>0</v>
      </c>
    </row>
    <row r="5" spans="2:53" x14ac:dyDescent="0.25">
      <c r="E5">
        <f t="shared" si="0"/>
        <v>0</v>
      </c>
    </row>
    <row r="6" spans="2:53" x14ac:dyDescent="0.25">
      <c r="E6">
        <f t="shared" si="0"/>
        <v>0</v>
      </c>
    </row>
    <row r="7" spans="2:53" x14ac:dyDescent="0.25">
      <c r="E7">
        <f t="shared" si="0"/>
        <v>0</v>
      </c>
    </row>
    <row r="8" spans="2:53" x14ac:dyDescent="0.25">
      <c r="E8">
        <f t="shared" si="0"/>
        <v>0</v>
      </c>
    </row>
    <row r="9" spans="2:53" x14ac:dyDescent="0.25">
      <c r="E9">
        <f t="shared" si="0"/>
        <v>0</v>
      </c>
    </row>
    <row r="10" spans="2:53" x14ac:dyDescent="0.25">
      <c r="E10">
        <f t="shared" si="0"/>
        <v>0</v>
      </c>
    </row>
    <row r="11" spans="2:53" x14ac:dyDescent="0.25">
      <c r="E11">
        <f t="shared" si="0"/>
        <v>0</v>
      </c>
    </row>
    <row r="12" spans="2:53" x14ac:dyDescent="0.25">
      <c r="E12">
        <f t="shared" si="0"/>
        <v>0</v>
      </c>
    </row>
    <row r="13" spans="2:53" x14ac:dyDescent="0.25">
      <c r="E13">
        <f t="shared" si="0"/>
        <v>0</v>
      </c>
    </row>
    <row r="14" spans="2:53" x14ac:dyDescent="0.25">
      <c r="E14">
        <f t="shared" si="0"/>
        <v>0</v>
      </c>
    </row>
    <row r="15" spans="2:53" x14ac:dyDescent="0.25">
      <c r="E15">
        <f t="shared" si="0"/>
        <v>0</v>
      </c>
    </row>
    <row r="16" spans="2:53" x14ac:dyDescent="0.25">
      <c r="E16">
        <f t="shared" si="0"/>
        <v>0</v>
      </c>
    </row>
    <row r="17" spans="5:5" x14ac:dyDescent="0.25">
      <c r="E17">
        <f t="shared" si="0"/>
        <v>0</v>
      </c>
    </row>
    <row r="18" spans="5:5" x14ac:dyDescent="0.25">
      <c r="E18">
        <f t="shared" si="0"/>
        <v>0</v>
      </c>
    </row>
    <row r="19" spans="5:5" x14ac:dyDescent="0.25">
      <c r="E19">
        <f t="shared" si="0"/>
        <v>0</v>
      </c>
    </row>
    <row r="20" spans="5:5" x14ac:dyDescent="0.25">
      <c r="E20">
        <f t="shared" si="0"/>
        <v>0</v>
      </c>
    </row>
    <row r="21" spans="5:5" x14ac:dyDescent="0.25">
      <c r="E21">
        <f t="shared" si="0"/>
        <v>0</v>
      </c>
    </row>
    <row r="22" spans="5:5" x14ac:dyDescent="0.25">
      <c r="E22">
        <f t="shared" si="0"/>
        <v>0</v>
      </c>
    </row>
    <row r="23" spans="5:5" x14ac:dyDescent="0.25">
      <c r="E23">
        <f t="shared" si="0"/>
        <v>0</v>
      </c>
    </row>
    <row r="24" spans="5:5" x14ac:dyDescent="0.25">
      <c r="E24">
        <f t="shared" si="0"/>
        <v>0</v>
      </c>
    </row>
    <row r="25" spans="5:5" x14ac:dyDescent="0.25">
      <c r="E25">
        <f t="shared" si="0"/>
        <v>0</v>
      </c>
    </row>
    <row r="26" spans="5:5" x14ac:dyDescent="0.25">
      <c r="E26">
        <f t="shared" si="0"/>
        <v>0</v>
      </c>
    </row>
    <row r="27" spans="5:5" x14ac:dyDescent="0.25">
      <c r="E27">
        <f t="shared" si="0"/>
        <v>0</v>
      </c>
    </row>
    <row r="28" spans="5:5" x14ac:dyDescent="0.25">
      <c r="E28">
        <f t="shared" si="0"/>
        <v>0</v>
      </c>
    </row>
    <row r="29" spans="5:5" x14ac:dyDescent="0.25">
      <c r="E29">
        <f t="shared" si="0"/>
        <v>0</v>
      </c>
    </row>
    <row r="30" spans="5:5" x14ac:dyDescent="0.25">
      <c r="E30">
        <f t="shared" si="0"/>
        <v>0</v>
      </c>
    </row>
    <row r="31" spans="5:5" x14ac:dyDescent="0.25">
      <c r="E31">
        <f t="shared" ref="E31" si="1">C31*D31</f>
        <v>0</v>
      </c>
    </row>
    <row r="32" spans="5:5" x14ac:dyDescent="0.25">
      <c r="E32">
        <f t="shared" si="0"/>
        <v>0</v>
      </c>
    </row>
    <row r="33" spans="2:13" x14ac:dyDescent="0.25">
      <c r="B33" t="s">
        <v>321</v>
      </c>
    </row>
    <row r="36" spans="2:13" x14ac:dyDescent="0.25">
      <c r="B36" t="s">
        <v>322</v>
      </c>
      <c r="C36">
        <v>300</v>
      </c>
      <c r="D36" t="s">
        <v>324</v>
      </c>
      <c r="F36" t="s">
        <v>328</v>
      </c>
      <c r="G36">
        <f>SUM(C2:C32)</f>
        <v>5</v>
      </c>
      <c r="J36" t="s">
        <v>333</v>
      </c>
      <c r="K36">
        <v>16</v>
      </c>
      <c r="L36" t="s">
        <v>327</v>
      </c>
      <c r="M36">
        <f>0.02*(G37/G36)+0.5</f>
        <v>0.73640242040000004</v>
      </c>
    </row>
    <row r="37" spans="2:13" x14ac:dyDescent="0.25">
      <c r="B37" t="s">
        <v>341</v>
      </c>
      <c r="C37">
        <v>-1</v>
      </c>
      <c r="D37" t="s">
        <v>325</v>
      </c>
      <c r="F37" t="s">
        <v>329</v>
      </c>
      <c r="G37">
        <f>SUM(E2:E32)</f>
        <v>59.100605100000003</v>
      </c>
      <c r="J37" t="s">
        <v>337</v>
      </c>
      <c r="K37">
        <v>3</v>
      </c>
      <c r="L37" t="s">
        <v>324</v>
      </c>
      <c r="M37">
        <f>0.043*(G37/G36)</f>
        <v>0.50826520385999996</v>
      </c>
    </row>
    <row r="38" spans="2:13" x14ac:dyDescent="0.25">
      <c r="B38" t="s">
        <v>331</v>
      </c>
      <c r="C38">
        <v>1</v>
      </c>
      <c r="D38" t="s">
        <v>332</v>
      </c>
      <c r="J38" t="s">
        <v>338</v>
      </c>
      <c r="K38">
        <f>0.0458*K37*10+1.222</f>
        <v>2.5960000000000001</v>
      </c>
      <c r="L38" t="s">
        <v>330</v>
      </c>
      <c r="M38">
        <f>(0.02 * (G37/G36) + 0.4)</f>
        <v>0.63640242040000006</v>
      </c>
    </row>
    <row r="39" spans="2:13" x14ac:dyDescent="0.25">
      <c r="B39" t="s">
        <v>326</v>
      </c>
      <c r="C39">
        <f xml:space="preserve"> (1.2*0.28* POWER(C36, 0.75) *EXP(-0.03*C38))/M36 + 0.09 * G37</f>
        <v>37.23709166979809</v>
      </c>
      <c r="D39" t="s">
        <v>320</v>
      </c>
    </row>
    <row r="40" spans="2:13" x14ac:dyDescent="0.25">
      <c r="B40" t="s">
        <v>334</v>
      </c>
      <c r="C40">
        <f>IF(C37&gt;0,C37*K36/M37,M37*(G37-C39)/K36)</f>
        <v>0.69452894441858892</v>
      </c>
      <c r="D40" t="s">
        <v>335</v>
      </c>
    </row>
    <row r="41" spans="2:13" x14ac:dyDescent="0.25">
      <c r="B41" t="s">
        <v>336</v>
      </c>
      <c r="C41">
        <f>IF(C37&lt;0,0,(G37-(C39+C40))*M38/K38)</f>
        <v>0</v>
      </c>
      <c r="D41" t="s">
        <v>325</v>
      </c>
    </row>
    <row r="42" spans="2:13" x14ac:dyDescent="0.25">
      <c r="B42" t="s">
        <v>342</v>
      </c>
      <c r="C42">
        <f>IF(C37&lt;0,(G37-C39)*M36/K36,C37)</f>
        <v>1.0062715130280373</v>
      </c>
      <c r="D42" t="s">
        <v>325</v>
      </c>
    </row>
    <row r="43" spans="2:13" x14ac:dyDescent="0.25">
      <c r="B43" t="s">
        <v>340</v>
      </c>
      <c r="C43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tFeeds">
                <anchor moveWithCells="1">
                  <from>
                    <xdr:col>2</xdr:col>
                    <xdr:colOff>276225</xdr:colOff>
                    <xdr:row>32</xdr:row>
                    <xdr:rowOff>142875</xdr:rowOff>
                  </from>
                  <to>
                    <xdr:col>4</xdr:col>
                    <xdr:colOff>581025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feedtable!$B$2:$B$253</xm:f>
          </x14:formula1>
          <xm:sqref>B2:B31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BA43"/>
  <sheetViews>
    <sheetView topLeftCell="A4" workbookViewId="0"/>
  </sheetViews>
  <sheetFormatPr defaultRowHeight="15" x14ac:dyDescent="0.25"/>
  <cols>
    <col min="2" max="2" width="41.5703125" customWidth="1"/>
    <col min="3" max="3" width="10.42578125" customWidth="1"/>
    <col min="4" max="4" width="10" customWidth="1"/>
    <col min="10" max="10" width="10.5703125" customWidth="1"/>
  </cols>
  <sheetData>
    <row r="1" spans="2:53" x14ac:dyDescent="0.25">
      <c r="C1" t="s">
        <v>318</v>
      </c>
      <c r="D1" t="s">
        <v>319</v>
      </c>
      <c r="E1" t="s">
        <v>320</v>
      </c>
      <c r="F1" t="s">
        <v>2</v>
      </c>
      <c r="G1" s="1"/>
      <c r="K1" s="1"/>
      <c r="M1" s="1"/>
      <c r="P1" s="1"/>
      <c r="R1" s="1"/>
      <c r="U1" s="1"/>
      <c r="W1" s="1"/>
      <c r="Z1" s="1"/>
      <c r="AB1" s="1"/>
      <c r="AE1" s="1"/>
      <c r="AG1" s="1"/>
      <c r="AJ1" s="1"/>
      <c r="AL1" s="1"/>
      <c r="AO1" s="1"/>
      <c r="AQ1" s="1"/>
      <c r="AT1" s="1"/>
      <c r="AV1" s="1"/>
      <c r="AY1" s="1"/>
      <c r="BA1" s="1"/>
    </row>
    <row r="2" spans="2:53" x14ac:dyDescent="0.25">
      <c r="B2" t="s">
        <v>187</v>
      </c>
      <c r="C2">
        <v>6</v>
      </c>
      <c r="D2">
        <v>11.470879800000001</v>
      </c>
      <c r="E2">
        <f>C2*D2</f>
        <v>68.825278800000007</v>
      </c>
      <c r="F2">
        <v>428</v>
      </c>
    </row>
    <row r="3" spans="2:53" x14ac:dyDescent="0.25">
      <c r="B3" t="s">
        <v>110</v>
      </c>
      <c r="C3">
        <v>1</v>
      </c>
      <c r="D3">
        <v>13.217085900000001</v>
      </c>
      <c r="E3">
        <f>C3*D3</f>
        <v>13.217085900000001</v>
      </c>
      <c r="F3">
        <v>246</v>
      </c>
    </row>
    <row r="4" spans="2:53" x14ac:dyDescent="0.25">
      <c r="E4">
        <f t="shared" ref="E4:E32" si="0">C4*D4</f>
        <v>0</v>
      </c>
    </row>
    <row r="5" spans="2:53" x14ac:dyDescent="0.25">
      <c r="E5">
        <f t="shared" si="0"/>
        <v>0</v>
      </c>
    </row>
    <row r="6" spans="2:53" x14ac:dyDescent="0.25">
      <c r="E6">
        <f t="shared" si="0"/>
        <v>0</v>
      </c>
    </row>
    <row r="7" spans="2:53" x14ac:dyDescent="0.25">
      <c r="E7">
        <f t="shared" si="0"/>
        <v>0</v>
      </c>
    </row>
    <row r="8" spans="2:53" x14ac:dyDescent="0.25">
      <c r="E8">
        <f t="shared" si="0"/>
        <v>0</v>
      </c>
    </row>
    <row r="9" spans="2:53" x14ac:dyDescent="0.25">
      <c r="E9">
        <f t="shared" si="0"/>
        <v>0</v>
      </c>
    </row>
    <row r="10" spans="2:53" x14ac:dyDescent="0.25">
      <c r="E10">
        <f t="shared" si="0"/>
        <v>0</v>
      </c>
    </row>
    <row r="11" spans="2:53" x14ac:dyDescent="0.25">
      <c r="E11">
        <f t="shared" si="0"/>
        <v>0</v>
      </c>
    </row>
    <row r="12" spans="2:53" x14ac:dyDescent="0.25">
      <c r="E12">
        <f t="shared" si="0"/>
        <v>0</v>
      </c>
    </row>
    <row r="13" spans="2:53" x14ac:dyDescent="0.25">
      <c r="E13">
        <f t="shared" si="0"/>
        <v>0</v>
      </c>
    </row>
    <row r="14" spans="2:53" x14ac:dyDescent="0.25">
      <c r="E14">
        <f t="shared" si="0"/>
        <v>0</v>
      </c>
    </row>
    <row r="15" spans="2:53" x14ac:dyDescent="0.25">
      <c r="E15">
        <f t="shared" si="0"/>
        <v>0</v>
      </c>
    </row>
    <row r="16" spans="2:53" x14ac:dyDescent="0.25">
      <c r="E16">
        <f t="shared" si="0"/>
        <v>0</v>
      </c>
    </row>
    <row r="17" spans="5:5" x14ac:dyDescent="0.25">
      <c r="E17">
        <f t="shared" si="0"/>
        <v>0</v>
      </c>
    </row>
    <row r="18" spans="5:5" x14ac:dyDescent="0.25">
      <c r="E18">
        <f t="shared" si="0"/>
        <v>0</v>
      </c>
    </row>
    <row r="19" spans="5:5" x14ac:dyDescent="0.25">
      <c r="E19">
        <f t="shared" si="0"/>
        <v>0</v>
      </c>
    </row>
    <row r="20" spans="5:5" x14ac:dyDescent="0.25">
      <c r="E20">
        <f t="shared" si="0"/>
        <v>0</v>
      </c>
    </row>
    <row r="21" spans="5:5" x14ac:dyDescent="0.25">
      <c r="E21">
        <f t="shared" si="0"/>
        <v>0</v>
      </c>
    </row>
    <row r="22" spans="5:5" x14ac:dyDescent="0.25">
      <c r="E22">
        <f t="shared" si="0"/>
        <v>0</v>
      </c>
    </row>
    <row r="23" spans="5:5" x14ac:dyDescent="0.25">
      <c r="E23">
        <f t="shared" si="0"/>
        <v>0</v>
      </c>
    </row>
    <row r="24" spans="5:5" x14ac:dyDescent="0.25">
      <c r="E24">
        <f t="shared" si="0"/>
        <v>0</v>
      </c>
    </row>
    <row r="25" spans="5:5" x14ac:dyDescent="0.25">
      <c r="E25">
        <f t="shared" si="0"/>
        <v>0</v>
      </c>
    </row>
    <row r="26" spans="5:5" x14ac:dyDescent="0.25">
      <c r="E26">
        <f t="shared" si="0"/>
        <v>0</v>
      </c>
    </row>
    <row r="27" spans="5:5" x14ac:dyDescent="0.25">
      <c r="E27">
        <f t="shared" si="0"/>
        <v>0</v>
      </c>
    </row>
    <row r="28" spans="5:5" x14ac:dyDescent="0.25">
      <c r="E28">
        <f t="shared" si="0"/>
        <v>0</v>
      </c>
    </row>
    <row r="29" spans="5:5" x14ac:dyDescent="0.25">
      <c r="E29">
        <f t="shared" si="0"/>
        <v>0</v>
      </c>
    </row>
    <row r="30" spans="5:5" x14ac:dyDescent="0.25">
      <c r="E30">
        <f t="shared" si="0"/>
        <v>0</v>
      </c>
    </row>
    <row r="31" spans="5:5" x14ac:dyDescent="0.25">
      <c r="E31">
        <f t="shared" ref="E31" si="1">C31*D31</f>
        <v>0</v>
      </c>
    </row>
    <row r="32" spans="5:5" x14ac:dyDescent="0.25">
      <c r="E32">
        <f t="shared" si="0"/>
        <v>0</v>
      </c>
    </row>
    <row r="33" spans="2:13" x14ac:dyDescent="0.25">
      <c r="B33" t="s">
        <v>321</v>
      </c>
    </row>
    <row r="36" spans="2:13" x14ac:dyDescent="0.25">
      <c r="B36" t="s">
        <v>322</v>
      </c>
      <c r="C36">
        <v>450</v>
      </c>
      <c r="D36" t="s">
        <v>324</v>
      </c>
      <c r="F36" t="s">
        <v>328</v>
      </c>
      <c r="G36">
        <f>SUM(C2:C32)</f>
        <v>7</v>
      </c>
      <c r="J36" t="s">
        <v>333</v>
      </c>
      <c r="K36">
        <v>16</v>
      </c>
      <c r="L36" t="s">
        <v>327</v>
      </c>
      <c r="M36">
        <f>0.02*(G37/G36)+0.5</f>
        <v>0.73440675628571428</v>
      </c>
    </row>
    <row r="37" spans="2:13" x14ac:dyDescent="0.25">
      <c r="B37" t="s">
        <v>341</v>
      </c>
      <c r="C37">
        <v>-1</v>
      </c>
      <c r="D37" t="s">
        <v>325</v>
      </c>
      <c r="F37" t="s">
        <v>329</v>
      </c>
      <c r="G37">
        <f>SUM(E2:E32)</f>
        <v>82.042364700000007</v>
      </c>
      <c r="J37" t="s">
        <v>337</v>
      </c>
      <c r="K37">
        <v>3</v>
      </c>
      <c r="L37" t="s">
        <v>324</v>
      </c>
      <c r="M37">
        <f>0.043*(G37/G36)</f>
        <v>0.50397452601428572</v>
      </c>
    </row>
    <row r="38" spans="2:13" x14ac:dyDescent="0.25">
      <c r="B38" t="s">
        <v>331</v>
      </c>
      <c r="C38">
        <v>1</v>
      </c>
      <c r="D38" t="s">
        <v>332</v>
      </c>
      <c r="J38" t="s">
        <v>338</v>
      </c>
      <c r="K38">
        <f>0.0458*K37*10+1.222</f>
        <v>2.5960000000000001</v>
      </c>
      <c r="L38" t="s">
        <v>330</v>
      </c>
      <c r="M38">
        <f>(0.02 * (G37/G36) + 0.4)</f>
        <v>0.6344067562857143</v>
      </c>
    </row>
    <row r="39" spans="2:13" x14ac:dyDescent="0.25">
      <c r="B39" t="s">
        <v>326</v>
      </c>
      <c r="C39">
        <f xml:space="preserve"> (1.2*0.28* POWER(C36, 0.75) *EXP(-0.03*C38))/M36 + 0.09 * G37</f>
        <v>50.763175256136357</v>
      </c>
      <c r="D39" t="s">
        <v>320</v>
      </c>
    </row>
    <row r="40" spans="2:13" x14ac:dyDescent="0.25">
      <c r="B40" t="s">
        <v>334</v>
      </c>
      <c r="C40">
        <f>IF(C37&gt;0,C37*K36/M37,M37*(G37-C39)/K36)</f>
        <v>0.98524466713013958</v>
      </c>
      <c r="D40" t="s">
        <v>335</v>
      </c>
    </row>
    <row r="41" spans="2:13" x14ac:dyDescent="0.25">
      <c r="B41" t="s">
        <v>336</v>
      </c>
      <c r="C41">
        <f>IF(C37&lt;0,0,(G37-(C39+C40))*M38/K38)</f>
        <v>0</v>
      </c>
      <c r="D41" t="s">
        <v>325</v>
      </c>
    </row>
    <row r="42" spans="2:13" x14ac:dyDescent="0.25">
      <c r="B42" t="s">
        <v>342</v>
      </c>
      <c r="C42">
        <f>IF(C37&lt;0,(G37-C39)*M36/K36,C37)</f>
        <v>1.4357280036696412</v>
      </c>
      <c r="D42" t="s">
        <v>325</v>
      </c>
    </row>
    <row r="43" spans="2:13" x14ac:dyDescent="0.25">
      <c r="B43" t="s">
        <v>340</v>
      </c>
      <c r="C43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tFeeds">
                <anchor moveWithCells="1">
                  <from>
                    <xdr:col>2</xdr:col>
                    <xdr:colOff>276225</xdr:colOff>
                    <xdr:row>32</xdr:row>
                    <xdr:rowOff>142875</xdr:rowOff>
                  </from>
                  <to>
                    <xdr:col>4</xdr:col>
                    <xdr:colOff>581025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feedtable!$B$2:$B$253</xm:f>
          </x14:formula1>
          <xm:sqref>B2:B31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BA43"/>
  <sheetViews>
    <sheetView tabSelected="1" topLeftCell="A7" workbookViewId="0"/>
  </sheetViews>
  <sheetFormatPr defaultRowHeight="15" x14ac:dyDescent="0.25"/>
  <cols>
    <col min="2" max="2" width="41.5703125" customWidth="1"/>
    <col min="3" max="3" width="10.42578125" customWidth="1"/>
    <col min="4" max="4" width="10" customWidth="1"/>
    <col min="10" max="10" width="10.5703125" customWidth="1"/>
  </cols>
  <sheetData>
    <row r="1" spans="2:53" x14ac:dyDescent="0.25">
      <c r="C1" t="s">
        <v>318</v>
      </c>
      <c r="D1" t="s">
        <v>319</v>
      </c>
      <c r="E1" t="s">
        <v>320</v>
      </c>
      <c r="F1" t="s">
        <v>2</v>
      </c>
    </row>
    <row r="2" spans="2:53" x14ac:dyDescent="0.25">
      <c r="B2" t="s">
        <v>187</v>
      </c>
      <c r="C2">
        <v>7</v>
      </c>
      <c r="D2">
        <v>11.470879800000001</v>
      </c>
      <c r="E2">
        <f>C2*D2</f>
        <v>80.296158599999998</v>
      </c>
      <c r="F2">
        <v>428</v>
      </c>
      <c r="G2" s="1"/>
      <c r="K2" s="1"/>
      <c r="M2" s="1"/>
      <c r="P2" s="1"/>
      <c r="R2" s="1"/>
      <c r="U2" s="1"/>
      <c r="W2" s="1"/>
      <c r="Z2" s="1"/>
      <c r="AB2" s="1"/>
      <c r="AE2" s="1"/>
      <c r="AG2" s="1"/>
      <c r="AJ2" s="1"/>
      <c r="AL2" s="1"/>
      <c r="AO2" s="1"/>
      <c r="AQ2" s="1"/>
      <c r="AT2" s="1"/>
      <c r="AV2" s="1"/>
      <c r="AY2" s="1"/>
      <c r="BA2" s="1"/>
    </row>
    <row r="3" spans="2:53" x14ac:dyDescent="0.25">
      <c r="B3" t="s">
        <v>110</v>
      </c>
      <c r="C3">
        <v>4</v>
      </c>
      <c r="D3">
        <v>13.217085900000001</v>
      </c>
      <c r="E3">
        <f>C3*D3</f>
        <v>52.868343600000003</v>
      </c>
      <c r="F3">
        <v>246</v>
      </c>
    </row>
    <row r="4" spans="2:53" x14ac:dyDescent="0.25">
      <c r="E4">
        <f t="shared" ref="E4:E32" si="0">C4*D4</f>
        <v>0</v>
      </c>
    </row>
    <row r="5" spans="2:53" x14ac:dyDescent="0.25">
      <c r="E5">
        <f t="shared" si="0"/>
        <v>0</v>
      </c>
    </row>
    <row r="6" spans="2:53" x14ac:dyDescent="0.25">
      <c r="E6">
        <f t="shared" si="0"/>
        <v>0</v>
      </c>
    </row>
    <row r="7" spans="2:53" x14ac:dyDescent="0.25">
      <c r="E7">
        <f t="shared" si="0"/>
        <v>0</v>
      </c>
    </row>
    <row r="8" spans="2:53" x14ac:dyDescent="0.25">
      <c r="E8">
        <f t="shared" si="0"/>
        <v>0</v>
      </c>
    </row>
    <row r="9" spans="2:53" x14ac:dyDescent="0.25">
      <c r="E9">
        <f t="shared" si="0"/>
        <v>0</v>
      </c>
    </row>
    <row r="10" spans="2:53" x14ac:dyDescent="0.25">
      <c r="E10">
        <f t="shared" si="0"/>
        <v>0</v>
      </c>
    </row>
    <row r="11" spans="2:53" x14ac:dyDescent="0.25">
      <c r="E11">
        <f t="shared" si="0"/>
        <v>0</v>
      </c>
    </row>
    <row r="12" spans="2:53" x14ac:dyDescent="0.25">
      <c r="E12">
        <f t="shared" si="0"/>
        <v>0</v>
      </c>
    </row>
    <row r="13" spans="2:53" x14ac:dyDescent="0.25">
      <c r="E13">
        <f t="shared" si="0"/>
        <v>0</v>
      </c>
    </row>
    <row r="14" spans="2:53" x14ac:dyDescent="0.25">
      <c r="E14">
        <f t="shared" si="0"/>
        <v>0</v>
      </c>
    </row>
    <row r="15" spans="2:53" x14ac:dyDescent="0.25">
      <c r="E15">
        <f t="shared" si="0"/>
        <v>0</v>
      </c>
    </row>
    <row r="16" spans="2:53" x14ac:dyDescent="0.25">
      <c r="E16">
        <f t="shared" si="0"/>
        <v>0</v>
      </c>
    </row>
    <row r="17" spans="5:5" x14ac:dyDescent="0.25">
      <c r="E17">
        <f t="shared" si="0"/>
        <v>0</v>
      </c>
    </row>
    <row r="18" spans="5:5" x14ac:dyDescent="0.25">
      <c r="E18">
        <f t="shared" si="0"/>
        <v>0</v>
      </c>
    </row>
    <row r="19" spans="5:5" x14ac:dyDescent="0.25">
      <c r="E19">
        <f t="shared" si="0"/>
        <v>0</v>
      </c>
    </row>
    <row r="20" spans="5:5" x14ac:dyDescent="0.25">
      <c r="E20">
        <f t="shared" si="0"/>
        <v>0</v>
      </c>
    </row>
    <row r="21" spans="5:5" x14ac:dyDescent="0.25">
      <c r="E21">
        <f t="shared" si="0"/>
        <v>0</v>
      </c>
    </row>
    <row r="22" spans="5:5" x14ac:dyDescent="0.25">
      <c r="E22">
        <f t="shared" si="0"/>
        <v>0</v>
      </c>
    </row>
    <row r="23" spans="5:5" x14ac:dyDescent="0.25">
      <c r="E23">
        <f t="shared" si="0"/>
        <v>0</v>
      </c>
    </row>
    <row r="24" spans="5:5" x14ac:dyDescent="0.25">
      <c r="E24">
        <f t="shared" si="0"/>
        <v>0</v>
      </c>
    </row>
    <row r="25" spans="5:5" x14ac:dyDescent="0.25">
      <c r="E25">
        <f t="shared" si="0"/>
        <v>0</v>
      </c>
    </row>
    <row r="26" spans="5:5" x14ac:dyDescent="0.25">
      <c r="E26">
        <f t="shared" si="0"/>
        <v>0</v>
      </c>
    </row>
    <row r="27" spans="5:5" x14ac:dyDescent="0.25">
      <c r="E27">
        <f t="shared" si="0"/>
        <v>0</v>
      </c>
    </row>
    <row r="28" spans="5:5" x14ac:dyDescent="0.25">
      <c r="E28">
        <f t="shared" si="0"/>
        <v>0</v>
      </c>
    </row>
    <row r="29" spans="5:5" x14ac:dyDescent="0.25">
      <c r="E29">
        <f t="shared" si="0"/>
        <v>0</v>
      </c>
    </row>
    <row r="30" spans="5:5" x14ac:dyDescent="0.25">
      <c r="E30">
        <f t="shared" si="0"/>
        <v>0</v>
      </c>
    </row>
    <row r="31" spans="5:5" x14ac:dyDescent="0.25">
      <c r="E31">
        <f t="shared" si="0"/>
        <v>0</v>
      </c>
    </row>
    <row r="32" spans="5:5" x14ac:dyDescent="0.25">
      <c r="E32">
        <f t="shared" si="0"/>
        <v>0</v>
      </c>
    </row>
    <row r="33" spans="2:13" x14ac:dyDescent="0.25">
      <c r="B33" t="s">
        <v>321</v>
      </c>
    </row>
    <row r="36" spans="2:13" x14ac:dyDescent="0.25">
      <c r="B36" t="s">
        <v>322</v>
      </c>
      <c r="C36">
        <v>650</v>
      </c>
      <c r="D36" t="s">
        <v>324</v>
      </c>
      <c r="F36" t="s">
        <v>328</v>
      </c>
      <c r="G36">
        <f>SUM(C2:C32)</f>
        <v>11</v>
      </c>
      <c r="J36" t="s">
        <v>333</v>
      </c>
      <c r="K36">
        <v>16</v>
      </c>
      <c r="L36" t="s">
        <v>327</v>
      </c>
      <c r="M36">
        <f>0.02*(G37/G36)+0.5</f>
        <v>0.74211727672727279</v>
      </c>
    </row>
    <row r="37" spans="2:13" x14ac:dyDescent="0.25">
      <c r="B37" t="s">
        <v>323</v>
      </c>
      <c r="C37">
        <v>0.2</v>
      </c>
      <c r="D37" t="s">
        <v>325</v>
      </c>
      <c r="F37" t="s">
        <v>329</v>
      </c>
      <c r="G37">
        <f>SUM(E2:E32)</f>
        <v>133.16450220000002</v>
      </c>
      <c r="J37" t="s">
        <v>337</v>
      </c>
      <c r="K37">
        <v>3</v>
      </c>
      <c r="L37" t="s">
        <v>324</v>
      </c>
      <c r="M37">
        <f>0.043*(G37/G36)</f>
        <v>0.52055214496363633</v>
      </c>
    </row>
    <row r="38" spans="2:13" x14ac:dyDescent="0.25">
      <c r="B38" t="s">
        <v>331</v>
      </c>
      <c r="C38">
        <v>3</v>
      </c>
      <c r="D38" t="s">
        <v>332</v>
      </c>
      <c r="J38" t="s">
        <v>338</v>
      </c>
      <c r="K38">
        <f>0.0458*K37*10+1.222</f>
        <v>2.5960000000000001</v>
      </c>
      <c r="L38" t="s">
        <v>330</v>
      </c>
      <c r="M38">
        <f>(0.02 * (G37/G36) + 0.4)</f>
        <v>0.64211727672727281</v>
      </c>
    </row>
    <row r="39" spans="2:13" x14ac:dyDescent="0.25">
      <c r="B39" t="s">
        <v>326</v>
      </c>
      <c r="C39">
        <f xml:space="preserve"> (1.2*0.28* POWER(C36, 0.75) *EXP(-0.03*C38))/M36 + 0.09 * G37</f>
        <v>65.252665152565712</v>
      </c>
      <c r="D39" t="s">
        <v>320</v>
      </c>
    </row>
    <row r="40" spans="2:13" x14ac:dyDescent="0.25">
      <c r="B40" t="s">
        <v>334</v>
      </c>
      <c r="C40">
        <f>IF(C37&gt;0,C37*K36/M37,M37*(G37-C39)/K36)</f>
        <v>6.1473188247520127</v>
      </c>
      <c r="D40" t="s">
        <v>335</v>
      </c>
    </row>
    <row r="41" spans="2:13" x14ac:dyDescent="0.25">
      <c r="B41" t="s">
        <v>336</v>
      </c>
      <c r="C41">
        <f>IF(C37&lt;0,0,(G37-(C39+C40))*M38/K38)</f>
        <v>15.277374514453298</v>
      </c>
      <c r="D41" t="s">
        <v>325</v>
      </c>
    </row>
    <row r="42" spans="2:13" x14ac:dyDescent="0.25">
      <c r="B42" t="s">
        <v>342</v>
      </c>
      <c r="C42">
        <f>IF(C37&lt;0,(G37-C39)*M36/K36,C37)</f>
        <v>0.2</v>
      </c>
      <c r="D42" t="s">
        <v>325</v>
      </c>
    </row>
    <row r="43" spans="2:13" x14ac:dyDescent="0.25">
      <c r="B43" t="s">
        <v>340</v>
      </c>
      <c r="C43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etFeeds">
                <anchor moveWithCells="1">
                  <from>
                    <xdr:col>1</xdr:col>
                    <xdr:colOff>2333625</xdr:colOff>
                    <xdr:row>32</xdr:row>
                    <xdr:rowOff>161925</xdr:rowOff>
                  </from>
                  <to>
                    <xdr:col>3</xdr:col>
                    <xdr:colOff>533400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feedtable!$B$2:$B$253</xm:f>
          </x14:formula1>
          <xm:sqref>B7:B31 B2:B3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BA43"/>
  <sheetViews>
    <sheetView workbookViewId="0"/>
  </sheetViews>
  <sheetFormatPr defaultRowHeight="15" x14ac:dyDescent="0.25"/>
  <cols>
    <col min="2" max="2" width="41.5703125" customWidth="1"/>
    <col min="3" max="3" width="10.42578125" customWidth="1"/>
    <col min="4" max="4" width="10" customWidth="1"/>
    <col min="10" max="10" width="10.5703125" customWidth="1"/>
  </cols>
  <sheetData>
    <row r="1" spans="2:53" x14ac:dyDescent="0.25">
      <c r="C1" t="s">
        <v>318</v>
      </c>
      <c r="D1" t="s">
        <v>319</v>
      </c>
      <c r="E1" t="s">
        <v>320</v>
      </c>
      <c r="F1" t="s">
        <v>2</v>
      </c>
    </row>
    <row r="2" spans="2:53" x14ac:dyDescent="0.25">
      <c r="B2" t="s">
        <v>187</v>
      </c>
      <c r="C2">
        <v>7</v>
      </c>
      <c r="D2">
        <v>11.470879800000001</v>
      </c>
      <c r="E2">
        <f>C2*D2</f>
        <v>80.296158599999998</v>
      </c>
      <c r="F2">
        <v>428</v>
      </c>
      <c r="G2" s="1"/>
      <c r="K2" s="1"/>
      <c r="M2" s="1"/>
      <c r="P2" s="1"/>
      <c r="R2" s="1"/>
      <c r="U2" s="1"/>
      <c r="W2" s="1"/>
      <c r="Z2" s="1"/>
      <c r="AB2" s="1"/>
      <c r="AE2" s="1"/>
      <c r="AG2" s="1"/>
      <c r="AJ2" s="1"/>
      <c r="AL2" s="1"/>
      <c r="AO2" s="1"/>
      <c r="AQ2" s="1"/>
      <c r="AT2" s="1"/>
      <c r="AV2" s="1"/>
      <c r="AY2" s="1"/>
      <c r="BA2" s="1"/>
    </row>
    <row r="3" spans="2:53" x14ac:dyDescent="0.25">
      <c r="B3" t="s">
        <v>110</v>
      </c>
      <c r="C3">
        <v>2</v>
      </c>
      <c r="D3">
        <v>13.217085900000001</v>
      </c>
      <c r="E3">
        <f>C3*D3</f>
        <v>26.434171800000001</v>
      </c>
      <c r="F3">
        <v>246</v>
      </c>
    </row>
    <row r="4" spans="2:53" x14ac:dyDescent="0.25">
      <c r="E4">
        <f t="shared" ref="E4:E32" si="0">C4*D4</f>
        <v>0</v>
      </c>
    </row>
    <row r="5" spans="2:53" x14ac:dyDescent="0.25">
      <c r="E5">
        <f t="shared" si="0"/>
        <v>0</v>
      </c>
    </row>
    <row r="6" spans="2:53" x14ac:dyDescent="0.25">
      <c r="E6">
        <f t="shared" si="0"/>
        <v>0</v>
      </c>
    </row>
    <row r="7" spans="2:53" x14ac:dyDescent="0.25">
      <c r="E7">
        <f t="shared" si="0"/>
        <v>0</v>
      </c>
    </row>
    <row r="8" spans="2:53" x14ac:dyDescent="0.25">
      <c r="E8">
        <f t="shared" si="0"/>
        <v>0</v>
      </c>
    </row>
    <row r="9" spans="2:53" x14ac:dyDescent="0.25">
      <c r="E9">
        <f t="shared" si="0"/>
        <v>0</v>
      </c>
    </row>
    <row r="10" spans="2:53" x14ac:dyDescent="0.25">
      <c r="E10">
        <f t="shared" si="0"/>
        <v>0</v>
      </c>
    </row>
    <row r="11" spans="2:53" x14ac:dyDescent="0.25">
      <c r="E11">
        <f t="shared" si="0"/>
        <v>0</v>
      </c>
    </row>
    <row r="12" spans="2:53" x14ac:dyDescent="0.25">
      <c r="E12">
        <f t="shared" si="0"/>
        <v>0</v>
      </c>
    </row>
    <row r="13" spans="2:53" x14ac:dyDescent="0.25">
      <c r="E13">
        <f t="shared" si="0"/>
        <v>0</v>
      </c>
    </row>
    <row r="14" spans="2:53" x14ac:dyDescent="0.25">
      <c r="E14">
        <f t="shared" si="0"/>
        <v>0</v>
      </c>
    </row>
    <row r="15" spans="2:53" x14ac:dyDescent="0.25">
      <c r="E15">
        <f t="shared" si="0"/>
        <v>0</v>
      </c>
    </row>
    <row r="16" spans="2:53" x14ac:dyDescent="0.25">
      <c r="E16">
        <f t="shared" si="0"/>
        <v>0</v>
      </c>
    </row>
    <row r="17" spans="5:5" x14ac:dyDescent="0.25">
      <c r="E17">
        <f t="shared" si="0"/>
        <v>0</v>
      </c>
    </row>
    <row r="18" spans="5:5" x14ac:dyDescent="0.25">
      <c r="E18">
        <f t="shared" si="0"/>
        <v>0</v>
      </c>
    </row>
    <row r="19" spans="5:5" x14ac:dyDescent="0.25">
      <c r="E19">
        <f t="shared" si="0"/>
        <v>0</v>
      </c>
    </row>
    <row r="20" spans="5:5" x14ac:dyDescent="0.25">
      <c r="E20">
        <f t="shared" si="0"/>
        <v>0</v>
      </c>
    </row>
    <row r="21" spans="5:5" x14ac:dyDescent="0.25">
      <c r="E21">
        <f t="shared" si="0"/>
        <v>0</v>
      </c>
    </row>
    <row r="22" spans="5:5" x14ac:dyDescent="0.25">
      <c r="E22">
        <f t="shared" si="0"/>
        <v>0</v>
      </c>
    </row>
    <row r="23" spans="5:5" x14ac:dyDescent="0.25">
      <c r="E23">
        <f t="shared" si="0"/>
        <v>0</v>
      </c>
    </row>
    <row r="24" spans="5:5" x14ac:dyDescent="0.25">
      <c r="E24">
        <f t="shared" si="0"/>
        <v>0</v>
      </c>
    </row>
    <row r="25" spans="5:5" x14ac:dyDescent="0.25">
      <c r="E25">
        <f t="shared" si="0"/>
        <v>0</v>
      </c>
    </row>
    <row r="26" spans="5:5" x14ac:dyDescent="0.25">
      <c r="E26">
        <f t="shared" si="0"/>
        <v>0</v>
      </c>
    </row>
    <row r="27" spans="5:5" x14ac:dyDescent="0.25">
      <c r="E27">
        <f t="shared" si="0"/>
        <v>0</v>
      </c>
    </row>
    <row r="28" spans="5:5" x14ac:dyDescent="0.25">
      <c r="E28">
        <f t="shared" si="0"/>
        <v>0</v>
      </c>
    </row>
    <row r="29" spans="5:5" x14ac:dyDescent="0.25">
      <c r="E29">
        <f t="shared" si="0"/>
        <v>0</v>
      </c>
    </row>
    <row r="30" spans="5:5" x14ac:dyDescent="0.25">
      <c r="E30">
        <f t="shared" si="0"/>
        <v>0</v>
      </c>
    </row>
    <row r="31" spans="5:5" x14ac:dyDescent="0.25">
      <c r="E31">
        <f t="shared" si="0"/>
        <v>0</v>
      </c>
    </row>
    <row r="32" spans="5:5" x14ac:dyDescent="0.25">
      <c r="E32">
        <f t="shared" si="0"/>
        <v>0</v>
      </c>
    </row>
    <row r="33" spans="2:13" x14ac:dyDescent="0.25">
      <c r="B33" t="s">
        <v>321</v>
      </c>
    </row>
    <row r="36" spans="2:13" x14ac:dyDescent="0.25">
      <c r="B36" t="s">
        <v>322</v>
      </c>
      <c r="C36">
        <v>650</v>
      </c>
      <c r="D36" t="s">
        <v>324</v>
      </c>
      <c r="F36" t="s">
        <v>328</v>
      </c>
      <c r="G36">
        <f>SUM(C2:C32)</f>
        <v>9</v>
      </c>
      <c r="J36" t="s">
        <v>333</v>
      </c>
      <c r="K36">
        <v>16</v>
      </c>
      <c r="L36" t="s">
        <v>327</v>
      </c>
      <c r="M36">
        <f>0.02*(G37/G36)+0.5</f>
        <v>0.73717851199999995</v>
      </c>
    </row>
    <row r="37" spans="2:13" x14ac:dyDescent="0.25">
      <c r="B37" t="s">
        <v>323</v>
      </c>
      <c r="C37">
        <v>0.2</v>
      </c>
      <c r="D37" t="s">
        <v>325</v>
      </c>
      <c r="F37" t="s">
        <v>329</v>
      </c>
      <c r="G37">
        <f>SUM(E2:E32)</f>
        <v>106.7303304</v>
      </c>
      <c r="J37" t="s">
        <v>337</v>
      </c>
      <c r="K37">
        <v>3</v>
      </c>
      <c r="L37" t="s">
        <v>324</v>
      </c>
      <c r="M37">
        <f>0.043*(G37/G36)</f>
        <v>0.50993380079999995</v>
      </c>
    </row>
    <row r="38" spans="2:13" x14ac:dyDescent="0.25">
      <c r="B38" t="s">
        <v>331</v>
      </c>
      <c r="C38">
        <v>3</v>
      </c>
      <c r="D38" t="s">
        <v>332</v>
      </c>
      <c r="J38" t="s">
        <v>338</v>
      </c>
      <c r="K38">
        <f>0.0458*K37*10+1.222</f>
        <v>2.5960000000000001</v>
      </c>
      <c r="L38" t="s">
        <v>330</v>
      </c>
      <c r="M38">
        <f>(0.02 * (G37/G36) + 0.4)</f>
        <v>0.63717851199999997</v>
      </c>
    </row>
    <row r="39" spans="2:13" x14ac:dyDescent="0.25">
      <c r="B39" t="s">
        <v>326</v>
      </c>
      <c r="C39">
        <f xml:space="preserve"> (1.2*0.28* POWER(C36, 0.75) *EXP(-0.03*C38))/M36 + 0.09 * G37</f>
        <v>63.230460412593651</v>
      </c>
      <c r="D39" t="s">
        <v>320</v>
      </c>
    </row>
    <row r="40" spans="2:13" x14ac:dyDescent="0.25">
      <c r="B40" t="s">
        <v>334</v>
      </c>
      <c r="C40">
        <f>IF(C37&gt;0,C37*K36/M37,M37*(G37-C39)/K36)</f>
        <v>6.2753243557884204</v>
      </c>
      <c r="D40" t="s">
        <v>335</v>
      </c>
    </row>
    <row r="41" spans="2:13" x14ac:dyDescent="0.25">
      <c r="B41" t="s">
        <v>336</v>
      </c>
      <c r="C41">
        <f>IF(C37&lt;0,0,(G37-(C39+C40))*M38/K38)</f>
        <v>9.136625807176582</v>
      </c>
      <c r="D41" t="s">
        <v>325</v>
      </c>
    </row>
    <row r="42" spans="2:13" x14ac:dyDescent="0.25">
      <c r="B42" t="s">
        <v>342</v>
      </c>
      <c r="C42">
        <f>IF(C37&lt;0,(G37-C39)*M36/K36,C37)</f>
        <v>0.2</v>
      </c>
      <c r="D42" t="s">
        <v>325</v>
      </c>
    </row>
    <row r="43" spans="2:13" x14ac:dyDescent="0.25">
      <c r="B43" t="s">
        <v>340</v>
      </c>
      <c r="C43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Feeds">
                <anchor moveWithCells="1">
                  <from>
                    <xdr:col>1</xdr:col>
                    <xdr:colOff>2333625</xdr:colOff>
                    <xdr:row>32</xdr:row>
                    <xdr:rowOff>161925</xdr:rowOff>
                  </from>
                  <to>
                    <xdr:col>3</xdr:col>
                    <xdr:colOff>533400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feedtable!$B$2:$B$253</xm:f>
          </x14:formula1>
          <xm:sqref>B7:B31 B2:B3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A43"/>
  <sheetViews>
    <sheetView workbookViewId="0"/>
  </sheetViews>
  <sheetFormatPr defaultRowHeight="15" x14ac:dyDescent="0.25"/>
  <cols>
    <col min="2" max="2" width="41.5703125" customWidth="1"/>
    <col min="3" max="3" width="10.42578125" customWidth="1"/>
    <col min="4" max="4" width="10" customWidth="1"/>
    <col min="10" max="10" width="10.5703125" customWidth="1"/>
  </cols>
  <sheetData>
    <row r="1" spans="2:53" x14ac:dyDescent="0.25">
      <c r="C1" t="s">
        <v>318</v>
      </c>
      <c r="D1" t="s">
        <v>319</v>
      </c>
      <c r="E1" t="s">
        <v>320</v>
      </c>
      <c r="F1" t="s">
        <v>2</v>
      </c>
    </row>
    <row r="2" spans="2:53" x14ac:dyDescent="0.25">
      <c r="B2" t="s">
        <v>187</v>
      </c>
      <c r="C2">
        <v>7</v>
      </c>
      <c r="D2">
        <v>11.470879800000001</v>
      </c>
      <c r="E2">
        <f>C2*D2</f>
        <v>80.296158599999998</v>
      </c>
      <c r="F2">
        <v>428</v>
      </c>
      <c r="G2" s="1"/>
      <c r="K2" s="1"/>
      <c r="M2" s="1"/>
      <c r="P2" s="1"/>
      <c r="R2" s="1"/>
      <c r="U2" s="1"/>
      <c r="W2" s="1"/>
      <c r="Z2" s="1"/>
      <c r="AB2" s="1"/>
      <c r="AE2" s="1"/>
      <c r="AG2" s="1"/>
      <c r="AJ2" s="1"/>
      <c r="AL2" s="1"/>
      <c r="AO2" s="1"/>
      <c r="AQ2" s="1"/>
      <c r="AT2" s="1"/>
      <c r="AV2" s="1"/>
      <c r="AY2" s="1"/>
      <c r="BA2" s="1"/>
    </row>
    <row r="3" spans="2:53" x14ac:dyDescent="0.25">
      <c r="B3" t="s">
        <v>110</v>
      </c>
      <c r="C3">
        <v>5</v>
      </c>
      <c r="D3">
        <v>13.217085900000001</v>
      </c>
      <c r="E3">
        <f>C3*D3</f>
        <v>66.085429500000004</v>
      </c>
      <c r="F3">
        <v>246</v>
      </c>
    </row>
    <row r="4" spans="2:53" x14ac:dyDescent="0.25">
      <c r="E4">
        <f t="shared" ref="E4:E32" si="0">C4*D4</f>
        <v>0</v>
      </c>
    </row>
    <row r="5" spans="2:53" x14ac:dyDescent="0.25">
      <c r="E5">
        <f t="shared" si="0"/>
        <v>0</v>
      </c>
    </row>
    <row r="6" spans="2:53" x14ac:dyDescent="0.25">
      <c r="E6">
        <f t="shared" si="0"/>
        <v>0</v>
      </c>
    </row>
    <row r="7" spans="2:53" x14ac:dyDescent="0.25">
      <c r="E7">
        <f t="shared" si="0"/>
        <v>0</v>
      </c>
    </row>
    <row r="8" spans="2:53" x14ac:dyDescent="0.25">
      <c r="E8">
        <f t="shared" si="0"/>
        <v>0</v>
      </c>
    </row>
    <row r="9" spans="2:53" x14ac:dyDescent="0.25">
      <c r="E9">
        <f t="shared" si="0"/>
        <v>0</v>
      </c>
    </row>
    <row r="10" spans="2:53" x14ac:dyDescent="0.25">
      <c r="E10">
        <f t="shared" si="0"/>
        <v>0</v>
      </c>
    </row>
    <row r="11" spans="2:53" x14ac:dyDescent="0.25">
      <c r="E11">
        <f t="shared" si="0"/>
        <v>0</v>
      </c>
    </row>
    <row r="12" spans="2:53" x14ac:dyDescent="0.25">
      <c r="E12">
        <f t="shared" si="0"/>
        <v>0</v>
      </c>
    </row>
    <row r="13" spans="2:53" x14ac:dyDescent="0.25">
      <c r="E13">
        <f t="shared" si="0"/>
        <v>0</v>
      </c>
    </row>
    <row r="14" spans="2:53" x14ac:dyDescent="0.25">
      <c r="E14">
        <f t="shared" si="0"/>
        <v>0</v>
      </c>
    </row>
    <row r="15" spans="2:53" x14ac:dyDescent="0.25">
      <c r="E15">
        <f t="shared" si="0"/>
        <v>0</v>
      </c>
    </row>
    <row r="16" spans="2:53" x14ac:dyDescent="0.25">
      <c r="E16">
        <f t="shared" si="0"/>
        <v>0</v>
      </c>
    </row>
    <row r="17" spans="5:5" x14ac:dyDescent="0.25">
      <c r="E17">
        <f t="shared" si="0"/>
        <v>0</v>
      </c>
    </row>
    <row r="18" spans="5:5" x14ac:dyDescent="0.25">
      <c r="E18">
        <f t="shared" si="0"/>
        <v>0</v>
      </c>
    </row>
    <row r="19" spans="5:5" x14ac:dyDescent="0.25">
      <c r="E19">
        <f t="shared" si="0"/>
        <v>0</v>
      </c>
    </row>
    <row r="20" spans="5:5" x14ac:dyDescent="0.25">
      <c r="E20">
        <f t="shared" si="0"/>
        <v>0</v>
      </c>
    </row>
    <row r="21" spans="5:5" x14ac:dyDescent="0.25">
      <c r="E21">
        <f t="shared" si="0"/>
        <v>0</v>
      </c>
    </row>
    <row r="22" spans="5:5" x14ac:dyDescent="0.25">
      <c r="E22">
        <f t="shared" si="0"/>
        <v>0</v>
      </c>
    </row>
    <row r="23" spans="5:5" x14ac:dyDescent="0.25">
      <c r="E23">
        <f t="shared" si="0"/>
        <v>0</v>
      </c>
    </row>
    <row r="24" spans="5:5" x14ac:dyDescent="0.25">
      <c r="E24">
        <f t="shared" si="0"/>
        <v>0</v>
      </c>
    </row>
    <row r="25" spans="5:5" x14ac:dyDescent="0.25">
      <c r="E25">
        <f t="shared" si="0"/>
        <v>0</v>
      </c>
    </row>
    <row r="26" spans="5:5" x14ac:dyDescent="0.25">
      <c r="E26">
        <f t="shared" si="0"/>
        <v>0</v>
      </c>
    </row>
    <row r="27" spans="5:5" x14ac:dyDescent="0.25">
      <c r="E27">
        <f t="shared" si="0"/>
        <v>0</v>
      </c>
    </row>
    <row r="28" spans="5:5" x14ac:dyDescent="0.25">
      <c r="E28">
        <f t="shared" si="0"/>
        <v>0</v>
      </c>
    </row>
    <row r="29" spans="5:5" x14ac:dyDescent="0.25">
      <c r="E29">
        <f t="shared" si="0"/>
        <v>0</v>
      </c>
    </row>
    <row r="30" spans="5:5" x14ac:dyDescent="0.25">
      <c r="E30">
        <f t="shared" si="0"/>
        <v>0</v>
      </c>
    </row>
    <row r="31" spans="5:5" x14ac:dyDescent="0.25">
      <c r="E31">
        <f t="shared" si="0"/>
        <v>0</v>
      </c>
    </row>
    <row r="32" spans="5:5" x14ac:dyDescent="0.25">
      <c r="E32">
        <f t="shared" si="0"/>
        <v>0</v>
      </c>
    </row>
    <row r="33" spans="2:13" x14ac:dyDescent="0.25">
      <c r="B33" t="s">
        <v>321</v>
      </c>
    </row>
    <row r="36" spans="2:13" x14ac:dyDescent="0.25">
      <c r="B36" t="s">
        <v>322</v>
      </c>
      <c r="C36">
        <v>650</v>
      </c>
      <c r="D36" t="s">
        <v>324</v>
      </c>
      <c r="F36" t="s">
        <v>328</v>
      </c>
      <c r="G36">
        <f>SUM(C2:C32)</f>
        <v>12</v>
      </c>
      <c r="J36" t="s">
        <v>333</v>
      </c>
      <c r="K36">
        <v>16</v>
      </c>
      <c r="L36" t="s">
        <v>327</v>
      </c>
      <c r="M36">
        <f>0.02*(G37/G36)+0.5</f>
        <v>0.74396931350000006</v>
      </c>
    </row>
    <row r="37" spans="2:13" x14ac:dyDescent="0.25">
      <c r="B37" t="s">
        <v>323</v>
      </c>
      <c r="C37">
        <v>0</v>
      </c>
      <c r="D37" t="s">
        <v>325</v>
      </c>
      <c r="F37" t="s">
        <v>329</v>
      </c>
      <c r="G37">
        <f>SUM(E2:E32)</f>
        <v>146.38158809999999</v>
      </c>
      <c r="J37" t="s">
        <v>337</v>
      </c>
      <c r="K37">
        <v>3</v>
      </c>
      <c r="L37" t="s">
        <v>324</v>
      </c>
      <c r="M37">
        <f>0.043*(G37/G36)</f>
        <v>0.52453402402499993</v>
      </c>
    </row>
    <row r="38" spans="2:13" x14ac:dyDescent="0.25">
      <c r="B38" t="s">
        <v>331</v>
      </c>
      <c r="C38">
        <v>3</v>
      </c>
      <c r="D38" t="s">
        <v>332</v>
      </c>
      <c r="J38" t="s">
        <v>338</v>
      </c>
      <c r="K38">
        <f>0.0458*K37*10+1.222</f>
        <v>2.5960000000000001</v>
      </c>
      <c r="L38" t="s">
        <v>330</v>
      </c>
      <c r="M38">
        <f>(0.02 * (G37/G36) + 0.4)</f>
        <v>0.64396931349999997</v>
      </c>
    </row>
    <row r="39" spans="2:13" x14ac:dyDescent="0.25">
      <c r="B39" t="s">
        <v>326</v>
      </c>
      <c r="C39">
        <f xml:space="preserve"> (1.2*0.28* POWER(C36, 0.75) *EXP(-0.03*C38))/M36 + 0.09 * G37</f>
        <v>66.309597904233669</v>
      </c>
      <c r="D39" t="s">
        <v>320</v>
      </c>
    </row>
    <row r="40" spans="2:13" x14ac:dyDescent="0.25">
      <c r="B40" t="s">
        <v>334</v>
      </c>
      <c r="C40">
        <f>IF(C37&gt;0,C37*K36/M37,M37*(G37-C39)/K36)</f>
        <v>2.625030201817228</v>
      </c>
      <c r="D40" t="s">
        <v>335</v>
      </c>
    </row>
    <row r="41" spans="2:13" x14ac:dyDescent="0.25">
      <c r="B41" t="s">
        <v>336</v>
      </c>
      <c r="C41">
        <f>IF(C37&lt;0,0,(G37-(C39+C40))*M38/K38)</f>
        <v>19.21165857471701</v>
      </c>
      <c r="D41" t="s">
        <v>325</v>
      </c>
    </row>
    <row r="42" spans="2:13" x14ac:dyDescent="0.25">
      <c r="B42" t="s">
        <v>342</v>
      </c>
      <c r="C42">
        <f>IF(C37&lt;0,(G37-C39)*M36/K36,C37)</f>
        <v>0</v>
      </c>
      <c r="D42" t="s">
        <v>325</v>
      </c>
    </row>
    <row r="43" spans="2:13" x14ac:dyDescent="0.25">
      <c r="B43" t="s">
        <v>340</v>
      </c>
      <c r="C43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tFeeds">
                <anchor moveWithCells="1">
                  <from>
                    <xdr:col>1</xdr:col>
                    <xdr:colOff>2333625</xdr:colOff>
                    <xdr:row>32</xdr:row>
                    <xdr:rowOff>161925</xdr:rowOff>
                  </from>
                  <to>
                    <xdr:col>3</xdr:col>
                    <xdr:colOff>533400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feedtable!$B$2:$B$253</xm:f>
          </x14:formula1>
          <xm:sqref>B7:B31 B2:B3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BA43"/>
  <sheetViews>
    <sheetView workbookViewId="0"/>
  </sheetViews>
  <sheetFormatPr defaultRowHeight="15" x14ac:dyDescent="0.25"/>
  <cols>
    <col min="2" max="2" width="41.5703125" customWidth="1"/>
    <col min="3" max="3" width="10.42578125" customWidth="1"/>
    <col min="4" max="4" width="10" customWidth="1"/>
    <col min="10" max="10" width="10.5703125" customWidth="1"/>
  </cols>
  <sheetData>
    <row r="1" spans="2:53" x14ac:dyDescent="0.25">
      <c r="C1" t="s">
        <v>318</v>
      </c>
      <c r="D1" t="s">
        <v>319</v>
      </c>
      <c r="E1" t="s">
        <v>320</v>
      </c>
      <c r="F1" t="s">
        <v>2</v>
      </c>
    </row>
    <row r="2" spans="2:53" x14ac:dyDescent="0.25">
      <c r="B2" t="s">
        <v>187</v>
      </c>
      <c r="C2">
        <v>7</v>
      </c>
      <c r="D2">
        <v>11.470879800000001</v>
      </c>
      <c r="E2">
        <f>C2*D2</f>
        <v>80.296158599999998</v>
      </c>
      <c r="F2">
        <v>428</v>
      </c>
      <c r="G2" s="1"/>
      <c r="K2" s="1"/>
      <c r="M2" s="1"/>
      <c r="P2" s="1"/>
      <c r="R2" s="1"/>
      <c r="U2" s="1"/>
      <c r="W2" s="1"/>
      <c r="Z2" s="1"/>
      <c r="AB2" s="1"/>
      <c r="AE2" s="1"/>
      <c r="AG2" s="1"/>
      <c r="AJ2" s="1"/>
      <c r="AL2" s="1"/>
      <c r="AO2" s="1"/>
      <c r="AQ2" s="1"/>
      <c r="AT2" s="1"/>
      <c r="AV2" s="1"/>
      <c r="AY2" s="1"/>
      <c r="BA2" s="1"/>
    </row>
    <row r="3" spans="2:53" x14ac:dyDescent="0.25">
      <c r="B3" t="s">
        <v>110</v>
      </c>
      <c r="C3">
        <v>2</v>
      </c>
      <c r="D3">
        <v>13.217085900000001</v>
      </c>
      <c r="E3">
        <f>C3*D3</f>
        <v>26.434171800000001</v>
      </c>
      <c r="F3">
        <v>246</v>
      </c>
    </row>
    <row r="4" spans="2:53" x14ac:dyDescent="0.25">
      <c r="E4">
        <f t="shared" ref="E4:E32" si="0">C4*D4</f>
        <v>0</v>
      </c>
    </row>
    <row r="5" spans="2:53" x14ac:dyDescent="0.25">
      <c r="E5">
        <f t="shared" si="0"/>
        <v>0</v>
      </c>
    </row>
    <row r="6" spans="2:53" x14ac:dyDescent="0.25">
      <c r="E6">
        <f t="shared" si="0"/>
        <v>0</v>
      </c>
    </row>
    <row r="7" spans="2:53" x14ac:dyDescent="0.25">
      <c r="E7">
        <f t="shared" si="0"/>
        <v>0</v>
      </c>
    </row>
    <row r="8" spans="2:53" x14ac:dyDescent="0.25">
      <c r="E8">
        <f t="shared" si="0"/>
        <v>0</v>
      </c>
    </row>
    <row r="9" spans="2:53" x14ac:dyDescent="0.25">
      <c r="E9">
        <f t="shared" si="0"/>
        <v>0</v>
      </c>
    </row>
    <row r="10" spans="2:53" x14ac:dyDescent="0.25">
      <c r="E10">
        <f t="shared" si="0"/>
        <v>0</v>
      </c>
    </row>
    <row r="11" spans="2:53" x14ac:dyDescent="0.25">
      <c r="E11">
        <f t="shared" si="0"/>
        <v>0</v>
      </c>
    </row>
    <row r="12" spans="2:53" x14ac:dyDescent="0.25">
      <c r="E12">
        <f t="shared" si="0"/>
        <v>0</v>
      </c>
    </row>
    <row r="13" spans="2:53" x14ac:dyDescent="0.25">
      <c r="E13">
        <f t="shared" si="0"/>
        <v>0</v>
      </c>
    </row>
    <row r="14" spans="2:53" x14ac:dyDescent="0.25">
      <c r="E14">
        <f t="shared" si="0"/>
        <v>0</v>
      </c>
    </row>
    <row r="15" spans="2:53" x14ac:dyDescent="0.25">
      <c r="E15">
        <f t="shared" si="0"/>
        <v>0</v>
      </c>
    </row>
    <row r="16" spans="2:53" x14ac:dyDescent="0.25">
      <c r="E16">
        <f t="shared" si="0"/>
        <v>0</v>
      </c>
    </row>
    <row r="17" spans="5:5" x14ac:dyDescent="0.25">
      <c r="E17">
        <f t="shared" si="0"/>
        <v>0</v>
      </c>
    </row>
    <row r="18" spans="5:5" x14ac:dyDescent="0.25">
      <c r="E18">
        <f t="shared" si="0"/>
        <v>0</v>
      </c>
    </row>
    <row r="19" spans="5:5" x14ac:dyDescent="0.25">
      <c r="E19">
        <f t="shared" si="0"/>
        <v>0</v>
      </c>
    </row>
    <row r="20" spans="5:5" x14ac:dyDescent="0.25">
      <c r="E20">
        <f t="shared" si="0"/>
        <v>0</v>
      </c>
    </row>
    <row r="21" spans="5:5" x14ac:dyDescent="0.25">
      <c r="E21">
        <f t="shared" si="0"/>
        <v>0</v>
      </c>
    </row>
    <row r="22" spans="5:5" x14ac:dyDescent="0.25">
      <c r="E22">
        <f t="shared" si="0"/>
        <v>0</v>
      </c>
    </row>
    <row r="23" spans="5:5" x14ac:dyDescent="0.25">
      <c r="E23">
        <f t="shared" si="0"/>
        <v>0</v>
      </c>
    </row>
    <row r="24" spans="5:5" x14ac:dyDescent="0.25">
      <c r="E24">
        <f t="shared" si="0"/>
        <v>0</v>
      </c>
    </row>
    <row r="25" spans="5:5" x14ac:dyDescent="0.25">
      <c r="E25">
        <f t="shared" si="0"/>
        <v>0</v>
      </c>
    </row>
    <row r="26" spans="5:5" x14ac:dyDescent="0.25">
      <c r="E26">
        <f t="shared" si="0"/>
        <v>0</v>
      </c>
    </row>
    <row r="27" spans="5:5" x14ac:dyDescent="0.25">
      <c r="E27">
        <f t="shared" si="0"/>
        <v>0</v>
      </c>
    </row>
    <row r="28" spans="5:5" x14ac:dyDescent="0.25">
      <c r="E28">
        <f t="shared" si="0"/>
        <v>0</v>
      </c>
    </row>
    <row r="29" spans="5:5" x14ac:dyDescent="0.25">
      <c r="E29">
        <f t="shared" si="0"/>
        <v>0</v>
      </c>
    </row>
    <row r="30" spans="5:5" x14ac:dyDescent="0.25">
      <c r="E30">
        <f t="shared" si="0"/>
        <v>0</v>
      </c>
    </row>
    <row r="31" spans="5:5" x14ac:dyDescent="0.25">
      <c r="E31">
        <f t="shared" si="0"/>
        <v>0</v>
      </c>
    </row>
    <row r="32" spans="5:5" x14ac:dyDescent="0.25">
      <c r="E32">
        <f t="shared" si="0"/>
        <v>0</v>
      </c>
    </row>
    <row r="33" spans="2:13" x14ac:dyDescent="0.25">
      <c r="B33" t="s">
        <v>321</v>
      </c>
    </row>
    <row r="36" spans="2:13" x14ac:dyDescent="0.25">
      <c r="B36" t="s">
        <v>322</v>
      </c>
      <c r="C36">
        <v>650</v>
      </c>
      <c r="D36" t="s">
        <v>324</v>
      </c>
      <c r="F36" t="s">
        <v>328</v>
      </c>
      <c r="G36">
        <f>SUM(C2:C32)</f>
        <v>9</v>
      </c>
      <c r="J36" t="s">
        <v>333</v>
      </c>
      <c r="K36">
        <v>16</v>
      </c>
      <c r="L36" t="s">
        <v>327</v>
      </c>
      <c r="M36">
        <f>0.02*(G37/G36)+0.5</f>
        <v>0.73717851199999995</v>
      </c>
    </row>
    <row r="37" spans="2:13" x14ac:dyDescent="0.25">
      <c r="B37" t="s">
        <v>323</v>
      </c>
      <c r="C37">
        <v>0</v>
      </c>
      <c r="D37" t="s">
        <v>325</v>
      </c>
      <c r="F37" t="s">
        <v>329</v>
      </c>
      <c r="G37">
        <f>SUM(E2:E32)</f>
        <v>106.7303304</v>
      </c>
      <c r="J37" t="s">
        <v>337</v>
      </c>
      <c r="K37">
        <v>3</v>
      </c>
      <c r="L37" t="s">
        <v>324</v>
      </c>
      <c r="M37">
        <f>0.043*(G37/G36)</f>
        <v>0.50993380079999995</v>
      </c>
    </row>
    <row r="38" spans="2:13" x14ac:dyDescent="0.25">
      <c r="B38" t="s">
        <v>331</v>
      </c>
      <c r="C38">
        <v>3</v>
      </c>
      <c r="D38" t="s">
        <v>332</v>
      </c>
      <c r="J38" t="s">
        <v>338</v>
      </c>
      <c r="K38">
        <f>0.0458*K37*10+1.222</f>
        <v>2.5960000000000001</v>
      </c>
      <c r="L38" t="s">
        <v>330</v>
      </c>
      <c r="M38">
        <f>(0.02 * (G37/G36) + 0.4)</f>
        <v>0.63717851199999997</v>
      </c>
    </row>
    <row r="39" spans="2:13" x14ac:dyDescent="0.25">
      <c r="B39" t="s">
        <v>326</v>
      </c>
      <c r="C39">
        <f xml:space="preserve"> (1.2*0.28* POWER(C36, 0.75) *EXP(-0.03*C38))/M36 + 0.09 * G37</f>
        <v>63.230460412593651</v>
      </c>
      <c r="D39" t="s">
        <v>320</v>
      </c>
    </row>
    <row r="40" spans="2:13" x14ac:dyDescent="0.25">
      <c r="B40" t="s">
        <v>334</v>
      </c>
      <c r="C40">
        <f>IF(C37&gt;0,C37*K36/M37,M37*(G37-C39)/K36)</f>
        <v>1.3863783773114979</v>
      </c>
      <c r="D40" t="s">
        <v>335</v>
      </c>
    </row>
    <row r="41" spans="2:13" x14ac:dyDescent="0.25">
      <c r="B41" t="s">
        <v>336</v>
      </c>
      <c r="C41">
        <f>IF(C37&lt;0,0,(G37-(C39+C40))*M38/K38)</f>
        <v>10.336599352559601</v>
      </c>
      <c r="D41" t="s">
        <v>325</v>
      </c>
    </row>
    <row r="42" spans="2:13" x14ac:dyDescent="0.25">
      <c r="B42" t="s">
        <v>342</v>
      </c>
      <c r="C42">
        <f>IF(C37&lt;0,(G37-C39)*M36/K36,C37)</f>
        <v>0</v>
      </c>
      <c r="D42" t="s">
        <v>325</v>
      </c>
    </row>
    <row r="43" spans="2:13" x14ac:dyDescent="0.25">
      <c r="B43" t="s">
        <v>340</v>
      </c>
      <c r="C43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tFeeds">
                <anchor moveWithCells="1">
                  <from>
                    <xdr:col>1</xdr:col>
                    <xdr:colOff>2333625</xdr:colOff>
                    <xdr:row>32</xdr:row>
                    <xdr:rowOff>161925</xdr:rowOff>
                  </from>
                  <to>
                    <xdr:col>3</xdr:col>
                    <xdr:colOff>533400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feedtable!$B$2:$B$253</xm:f>
          </x14:formula1>
          <xm:sqref>B7:B31 B2:B3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BA43"/>
  <sheetViews>
    <sheetView workbookViewId="0"/>
  </sheetViews>
  <sheetFormatPr defaultRowHeight="15" x14ac:dyDescent="0.25"/>
  <cols>
    <col min="2" max="2" width="41.5703125" customWidth="1"/>
    <col min="3" max="3" width="10.42578125" customWidth="1"/>
    <col min="4" max="4" width="10" customWidth="1"/>
    <col min="10" max="10" width="10.5703125" customWidth="1"/>
  </cols>
  <sheetData>
    <row r="1" spans="2:53" x14ac:dyDescent="0.25">
      <c r="C1" t="s">
        <v>318</v>
      </c>
      <c r="D1" t="s">
        <v>319</v>
      </c>
      <c r="E1" t="s">
        <v>320</v>
      </c>
      <c r="F1" t="s">
        <v>2</v>
      </c>
    </row>
    <row r="2" spans="2:53" x14ac:dyDescent="0.25">
      <c r="B2" t="s">
        <v>187</v>
      </c>
      <c r="C2">
        <v>5</v>
      </c>
      <c r="D2">
        <v>11.470879800000001</v>
      </c>
      <c r="E2">
        <f>C2*D2</f>
        <v>57.354399000000001</v>
      </c>
      <c r="F2">
        <v>428</v>
      </c>
      <c r="G2" s="1"/>
      <c r="K2" s="1"/>
      <c r="M2" s="1"/>
      <c r="P2" s="1"/>
      <c r="R2" s="1"/>
      <c r="U2" s="1"/>
      <c r="W2" s="1"/>
      <c r="Z2" s="1"/>
      <c r="AB2" s="1"/>
      <c r="AE2" s="1"/>
      <c r="AG2" s="1"/>
      <c r="AJ2" s="1"/>
      <c r="AL2" s="1"/>
      <c r="AO2" s="1"/>
      <c r="AQ2" s="1"/>
      <c r="AT2" s="1"/>
      <c r="AV2" s="1"/>
      <c r="AY2" s="1"/>
      <c r="BA2" s="1"/>
    </row>
    <row r="3" spans="2:53" x14ac:dyDescent="0.25">
      <c r="E3">
        <f>C3*D3</f>
        <v>0</v>
      </c>
    </row>
    <row r="4" spans="2:53" x14ac:dyDescent="0.25">
      <c r="E4">
        <f t="shared" ref="E4:E32" si="0">C4*D4</f>
        <v>0</v>
      </c>
    </row>
    <row r="5" spans="2:53" x14ac:dyDescent="0.25">
      <c r="E5">
        <f t="shared" si="0"/>
        <v>0</v>
      </c>
    </row>
    <row r="6" spans="2:53" x14ac:dyDescent="0.25">
      <c r="E6">
        <f t="shared" si="0"/>
        <v>0</v>
      </c>
    </row>
    <row r="7" spans="2:53" x14ac:dyDescent="0.25">
      <c r="E7">
        <f t="shared" si="0"/>
        <v>0</v>
      </c>
    </row>
    <row r="8" spans="2:53" x14ac:dyDescent="0.25">
      <c r="E8">
        <f t="shared" si="0"/>
        <v>0</v>
      </c>
    </row>
    <row r="9" spans="2:53" x14ac:dyDescent="0.25">
      <c r="E9">
        <f t="shared" si="0"/>
        <v>0</v>
      </c>
    </row>
    <row r="10" spans="2:53" x14ac:dyDescent="0.25">
      <c r="E10">
        <f t="shared" si="0"/>
        <v>0</v>
      </c>
    </row>
    <row r="11" spans="2:53" x14ac:dyDescent="0.25">
      <c r="E11">
        <f t="shared" si="0"/>
        <v>0</v>
      </c>
    </row>
    <row r="12" spans="2:53" x14ac:dyDescent="0.25">
      <c r="E12">
        <f t="shared" si="0"/>
        <v>0</v>
      </c>
    </row>
    <row r="13" spans="2:53" x14ac:dyDescent="0.25">
      <c r="E13">
        <f t="shared" si="0"/>
        <v>0</v>
      </c>
    </row>
    <row r="14" spans="2:53" x14ac:dyDescent="0.25">
      <c r="E14">
        <f t="shared" si="0"/>
        <v>0</v>
      </c>
    </row>
    <row r="15" spans="2:53" x14ac:dyDescent="0.25">
      <c r="E15">
        <f t="shared" si="0"/>
        <v>0</v>
      </c>
    </row>
    <row r="16" spans="2:53" x14ac:dyDescent="0.25">
      <c r="E16">
        <f t="shared" si="0"/>
        <v>0</v>
      </c>
    </row>
    <row r="17" spans="5:5" x14ac:dyDescent="0.25">
      <c r="E17">
        <f t="shared" si="0"/>
        <v>0</v>
      </c>
    </row>
    <row r="18" spans="5:5" x14ac:dyDescent="0.25">
      <c r="E18">
        <f t="shared" si="0"/>
        <v>0</v>
      </c>
    </row>
    <row r="19" spans="5:5" x14ac:dyDescent="0.25">
      <c r="E19">
        <f t="shared" si="0"/>
        <v>0</v>
      </c>
    </row>
    <row r="20" spans="5:5" x14ac:dyDescent="0.25">
      <c r="E20">
        <f t="shared" si="0"/>
        <v>0</v>
      </c>
    </row>
    <row r="21" spans="5:5" x14ac:dyDescent="0.25">
      <c r="E21">
        <f t="shared" si="0"/>
        <v>0</v>
      </c>
    </row>
    <row r="22" spans="5:5" x14ac:dyDescent="0.25">
      <c r="E22">
        <f t="shared" si="0"/>
        <v>0</v>
      </c>
    </row>
    <row r="23" spans="5:5" x14ac:dyDescent="0.25">
      <c r="E23">
        <f t="shared" si="0"/>
        <v>0</v>
      </c>
    </row>
    <row r="24" spans="5:5" x14ac:dyDescent="0.25">
      <c r="E24">
        <f t="shared" si="0"/>
        <v>0</v>
      </c>
    </row>
    <row r="25" spans="5:5" x14ac:dyDescent="0.25">
      <c r="E25">
        <f t="shared" si="0"/>
        <v>0</v>
      </c>
    </row>
    <row r="26" spans="5:5" x14ac:dyDescent="0.25">
      <c r="E26">
        <f t="shared" si="0"/>
        <v>0</v>
      </c>
    </row>
    <row r="27" spans="5:5" x14ac:dyDescent="0.25">
      <c r="E27">
        <f t="shared" si="0"/>
        <v>0</v>
      </c>
    </row>
    <row r="28" spans="5:5" x14ac:dyDescent="0.25">
      <c r="E28">
        <f t="shared" si="0"/>
        <v>0</v>
      </c>
    </row>
    <row r="29" spans="5:5" x14ac:dyDescent="0.25">
      <c r="E29">
        <f t="shared" si="0"/>
        <v>0</v>
      </c>
    </row>
    <row r="30" spans="5:5" x14ac:dyDescent="0.25">
      <c r="E30">
        <f t="shared" si="0"/>
        <v>0</v>
      </c>
    </row>
    <row r="31" spans="5:5" x14ac:dyDescent="0.25">
      <c r="E31">
        <f t="shared" si="0"/>
        <v>0</v>
      </c>
    </row>
    <row r="32" spans="5:5" x14ac:dyDescent="0.25">
      <c r="E32">
        <f t="shared" si="0"/>
        <v>0</v>
      </c>
    </row>
    <row r="33" spans="2:13" x14ac:dyDescent="0.25">
      <c r="B33" t="s">
        <v>321</v>
      </c>
    </row>
    <row r="36" spans="2:13" x14ac:dyDescent="0.25">
      <c r="B36" t="s">
        <v>322</v>
      </c>
      <c r="C36">
        <v>650</v>
      </c>
      <c r="D36" t="s">
        <v>324</v>
      </c>
      <c r="F36" t="s">
        <v>328</v>
      </c>
      <c r="G36">
        <f>SUM(C2:C32)</f>
        <v>5</v>
      </c>
      <c r="J36" t="s">
        <v>333</v>
      </c>
      <c r="K36">
        <v>16</v>
      </c>
      <c r="L36" t="s">
        <v>327</v>
      </c>
      <c r="M36">
        <f>0.02*(G37/G36)+0.5</f>
        <v>0.729417596</v>
      </c>
    </row>
    <row r="37" spans="2:13" x14ac:dyDescent="0.25">
      <c r="B37" t="s">
        <v>323</v>
      </c>
      <c r="C37">
        <v>-1</v>
      </c>
      <c r="D37" t="s">
        <v>325</v>
      </c>
      <c r="F37" t="s">
        <v>329</v>
      </c>
      <c r="G37">
        <f>SUM(E2:E32)</f>
        <v>57.354399000000001</v>
      </c>
      <c r="J37" t="s">
        <v>337</v>
      </c>
      <c r="K37">
        <v>3</v>
      </c>
      <c r="L37" t="s">
        <v>324</v>
      </c>
      <c r="M37">
        <f>0.043*(G37/G36)</f>
        <v>0.4932478314</v>
      </c>
    </row>
    <row r="38" spans="2:13" x14ac:dyDescent="0.25">
      <c r="B38" t="s">
        <v>331</v>
      </c>
      <c r="C38">
        <v>3</v>
      </c>
      <c r="D38" t="s">
        <v>332</v>
      </c>
      <c r="J38" t="s">
        <v>338</v>
      </c>
      <c r="K38">
        <f>0.0458*K37*10+1.222</f>
        <v>2.5960000000000001</v>
      </c>
      <c r="L38" t="s">
        <v>330</v>
      </c>
      <c r="M38">
        <f>(0.02 * (G37/G36) + 0.4)</f>
        <v>0.62941759600000002</v>
      </c>
    </row>
    <row r="39" spans="2:13" x14ac:dyDescent="0.25">
      <c r="B39" t="s">
        <v>326</v>
      </c>
      <c r="C39">
        <f xml:space="preserve"> (1.2*0.28* POWER(C36, 0.75) *EXP(-0.03*C38))/M36 + 0.09 * G37</f>
        <v>59.357187308717585</v>
      </c>
      <c r="D39" t="s">
        <v>320</v>
      </c>
    </row>
    <row r="40" spans="2:13" x14ac:dyDescent="0.25">
      <c r="B40" t="s">
        <v>334</v>
      </c>
      <c r="C40">
        <f>IF(C37&gt;0,C37*K36/M37,M37*(G37-C39)/K36)</f>
        <v>-6.1741936876763867E-2</v>
      </c>
      <c r="D40" t="s">
        <v>335</v>
      </c>
    </row>
    <row r="41" spans="2:13" x14ac:dyDescent="0.25">
      <c r="B41" t="s">
        <v>336</v>
      </c>
      <c r="C41">
        <f>IF(C37&lt;0,0,(G37-(C39+C40))*M38/K38)</f>
        <v>0</v>
      </c>
      <c r="D41" t="s">
        <v>325</v>
      </c>
    </row>
    <row r="42" spans="2:13" x14ac:dyDescent="0.25">
      <c r="B42" t="s">
        <v>342</v>
      </c>
      <c r="C42">
        <f>IF(C37&lt;0,(G37-C39)*M36/K36,C37)</f>
        <v>-9.1304314590105365E-2</v>
      </c>
      <c r="D42" t="s">
        <v>325</v>
      </c>
    </row>
    <row r="43" spans="2:13" x14ac:dyDescent="0.25">
      <c r="B43" t="s">
        <v>340</v>
      </c>
      <c r="C43">
        <v>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GetFeeds">
                <anchor moveWithCells="1">
                  <from>
                    <xdr:col>1</xdr:col>
                    <xdr:colOff>2333625</xdr:colOff>
                    <xdr:row>32</xdr:row>
                    <xdr:rowOff>161925</xdr:rowOff>
                  </from>
                  <to>
                    <xdr:col>3</xdr:col>
                    <xdr:colOff>533400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feedtable!$B$2:$B$253</xm:f>
          </x14:formula1>
          <xm:sqref>B7:B31 B2:B3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</vt:lpstr>
      <vt:lpstr>feedtable</vt:lpstr>
      <vt:lpstr>HEIFERS1</vt:lpstr>
      <vt:lpstr>HEIFERS2</vt:lpstr>
      <vt:lpstr>HEIFERS3</vt:lpstr>
      <vt:lpstr>DAIRY-1stEarly</vt:lpstr>
      <vt:lpstr>DAIRY-1stLate</vt:lpstr>
      <vt:lpstr>DAIRY-MatureEarly</vt:lpstr>
      <vt:lpstr>DAIRY-MatureLate</vt:lpstr>
      <vt:lpstr>DAIRY-Dry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John Hutchings</dc:creator>
  <cp:lastModifiedBy>NJH</cp:lastModifiedBy>
  <dcterms:created xsi:type="dcterms:W3CDTF">2013-07-05T07:05:32Z</dcterms:created>
  <dcterms:modified xsi:type="dcterms:W3CDTF">2013-07-15T09:49:17Z</dcterms:modified>
</cp:coreProperties>
</file>