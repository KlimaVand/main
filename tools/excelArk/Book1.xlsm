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195" windowHeight="13095" activeTab="4"/>
  </bookViews>
  <sheets>
    <sheet name="graph1" sheetId="481" r:id="rId1"/>
    <sheet name="math1" sheetId="480" r:id="rId2"/>
    <sheet name="graph2" sheetId="487" r:id="rId3"/>
    <sheet name="math2" sheetId="486" r:id="rId4"/>
    <sheet name="setup" sheetId="41" r:id="rId5"/>
  </sheets>
  <functionGroups builtInGroupCount="17"/>
  <calcPr calcId="145621"/>
</workbook>
</file>

<file path=xl/calcChain.xml><?xml version="1.0" encoding="utf-8"?>
<calcChain xmlns="http://schemas.openxmlformats.org/spreadsheetml/2006/main">
  <c r="S5" i="41" l="1"/>
  <c r="T5" i="41"/>
  <c r="Q5" i="41"/>
  <c r="R5" i="41"/>
  <c r="O5" i="41"/>
  <c r="P5" i="41"/>
  <c r="N5" i="41"/>
  <c r="L5" i="41"/>
  <c r="M5" i="41"/>
  <c r="J5" i="41"/>
  <c r="K5" i="41"/>
  <c r="H5" i="41"/>
  <c r="I5" i="41"/>
  <c r="E2" i="486"/>
  <c r="E3" i="486" s="1"/>
  <c r="E4" i="486" s="1"/>
  <c r="E5" i="486" s="1"/>
  <c r="E6" i="486" s="1"/>
  <c r="E7" i="486" s="1"/>
  <c r="E8" i="486" s="1"/>
  <c r="E9" i="486" s="1"/>
  <c r="E10" i="486" s="1"/>
  <c r="E11" i="486" s="1"/>
  <c r="E12" i="486" s="1"/>
  <c r="E13" i="486" s="1"/>
  <c r="E14" i="486" s="1"/>
  <c r="E15" i="486" s="1"/>
  <c r="E16" i="486" s="1"/>
  <c r="E17" i="486" s="1"/>
  <c r="A2" i="486"/>
  <c r="A3" i="486" s="1"/>
  <c r="A4" i="486" s="1"/>
  <c r="A5" i="486" s="1"/>
  <c r="A6" i="486" s="1"/>
  <c r="A7" i="486" s="1"/>
  <c r="A8" i="486" s="1"/>
  <c r="A9" i="486" s="1"/>
  <c r="A10" i="486" s="1"/>
  <c r="A11" i="486" s="1"/>
  <c r="A12" i="486" s="1"/>
  <c r="A13" i="486" s="1"/>
  <c r="A14" i="486" s="1"/>
  <c r="A15" i="486" s="1"/>
  <c r="A16" i="486" s="1"/>
  <c r="A17" i="486" s="1"/>
  <c r="T1" i="486"/>
  <c r="U1" i="486"/>
  <c r="V1" i="486"/>
  <c r="T2" i="486"/>
  <c r="U2" i="486"/>
  <c r="V2" i="486"/>
  <c r="T3" i="486"/>
  <c r="U3" i="486"/>
  <c r="V3" i="486"/>
  <c r="T4" i="486"/>
  <c r="U4" i="486"/>
  <c r="V4" i="486"/>
  <c r="T5" i="486"/>
  <c r="U5" i="486"/>
  <c r="V5" i="486"/>
  <c r="T6" i="486"/>
  <c r="U6" i="486"/>
  <c r="V6" i="486"/>
  <c r="T7" i="486"/>
  <c r="U7" i="486"/>
  <c r="V7" i="486"/>
  <c r="T8" i="486"/>
  <c r="U8" i="486"/>
  <c r="V8" i="486"/>
  <c r="T9" i="486"/>
  <c r="U9" i="486"/>
  <c r="V9" i="486"/>
  <c r="T10" i="486"/>
  <c r="U10" i="486"/>
  <c r="V10" i="486"/>
  <c r="T11" i="486"/>
  <c r="U11" i="486"/>
  <c r="V11" i="486"/>
  <c r="T12" i="486"/>
  <c r="U12" i="486"/>
  <c r="V12" i="486"/>
  <c r="T13" i="486"/>
  <c r="U13" i="486"/>
  <c r="V13" i="486"/>
  <c r="T14" i="486"/>
  <c r="U14" i="486"/>
  <c r="V14" i="486"/>
  <c r="T15" i="486"/>
  <c r="U15" i="486"/>
  <c r="V15" i="486"/>
  <c r="T16" i="486"/>
  <c r="U16" i="486"/>
  <c r="V16" i="486"/>
  <c r="T17" i="486"/>
  <c r="U17" i="486"/>
  <c r="V17" i="486"/>
  <c r="P1" i="486"/>
  <c r="Q1" i="486"/>
  <c r="R1" i="486"/>
  <c r="P2" i="486"/>
  <c r="Q2" i="486"/>
  <c r="R2" i="486"/>
  <c r="P3" i="486"/>
  <c r="Q3" i="486"/>
  <c r="R3" i="486"/>
  <c r="P4" i="486"/>
  <c r="Q4" i="486"/>
  <c r="R4" i="486"/>
  <c r="P5" i="486"/>
  <c r="Q5" i="486"/>
  <c r="R5" i="486"/>
  <c r="P6" i="486"/>
  <c r="Q6" i="486"/>
  <c r="R6" i="486"/>
  <c r="P7" i="486"/>
  <c r="Q7" i="486"/>
  <c r="R7" i="486"/>
  <c r="P8" i="486"/>
  <c r="Q8" i="486"/>
  <c r="R8" i="486"/>
  <c r="P9" i="486"/>
  <c r="Q9" i="486"/>
  <c r="R9" i="486"/>
  <c r="P10" i="486"/>
  <c r="Q10" i="486"/>
  <c r="R10" i="486"/>
  <c r="P11" i="486"/>
  <c r="Q11" i="486"/>
  <c r="R11" i="486"/>
  <c r="P12" i="486"/>
  <c r="Q12" i="486"/>
  <c r="R12" i="486"/>
  <c r="P13" i="486"/>
  <c r="Q13" i="486"/>
  <c r="R13" i="486"/>
  <c r="P14" i="486"/>
  <c r="Q14" i="486"/>
  <c r="R14" i="486"/>
  <c r="P15" i="486"/>
  <c r="Q15" i="486"/>
  <c r="R15" i="486"/>
  <c r="P16" i="486"/>
  <c r="Q16" i="486"/>
  <c r="R16" i="486"/>
  <c r="P17" i="486"/>
  <c r="Q17" i="486"/>
  <c r="R17" i="486"/>
  <c r="N1" i="486"/>
  <c r="M1" i="486"/>
  <c r="L1" i="486"/>
  <c r="J1" i="486"/>
  <c r="J2" i="486"/>
  <c r="J3" i="486"/>
  <c r="J4" i="486"/>
  <c r="J5" i="486"/>
  <c r="J6" i="486"/>
  <c r="J7" i="486"/>
  <c r="J8" i="486"/>
  <c r="J9" i="486"/>
  <c r="J10" i="486"/>
  <c r="J11" i="486"/>
  <c r="J12" i="486"/>
  <c r="J13" i="486"/>
  <c r="J14" i="486"/>
  <c r="J15" i="486"/>
  <c r="J16" i="486"/>
  <c r="J17" i="486"/>
  <c r="I1" i="486"/>
  <c r="I2" i="486"/>
  <c r="I3" i="486"/>
  <c r="I4" i="486"/>
  <c r="I5" i="486"/>
  <c r="I6" i="486"/>
  <c r="I7" i="486"/>
  <c r="I8" i="486"/>
  <c r="I9" i="486"/>
  <c r="I10" i="486"/>
  <c r="I11" i="486"/>
  <c r="I12" i="486"/>
  <c r="I13" i="486"/>
  <c r="I14" i="486"/>
  <c r="I15" i="486"/>
  <c r="I16" i="486"/>
  <c r="I17" i="486"/>
  <c r="G1" i="486"/>
  <c r="G2" i="486"/>
  <c r="G3" i="486"/>
  <c r="G4" i="486"/>
  <c r="G5" i="486"/>
  <c r="G6" i="486"/>
  <c r="G7" i="486"/>
  <c r="G8" i="486"/>
  <c r="G9" i="486"/>
  <c r="G10" i="486"/>
  <c r="G11" i="486"/>
  <c r="G12" i="486"/>
  <c r="G13" i="486"/>
  <c r="G14" i="486"/>
  <c r="G15" i="486"/>
  <c r="G16" i="486"/>
  <c r="G17" i="486"/>
  <c r="F1" i="486"/>
  <c r="F2" i="486"/>
  <c r="F3" i="486"/>
  <c r="F4" i="486"/>
  <c r="F5" i="486"/>
  <c r="F6" i="486"/>
  <c r="F7" i="486"/>
  <c r="F8" i="486"/>
  <c r="F9" i="486"/>
  <c r="F10" i="486"/>
  <c r="F11" i="486"/>
  <c r="F12" i="486"/>
  <c r="F13" i="486"/>
  <c r="F14" i="486"/>
  <c r="F15" i="486"/>
  <c r="F16" i="486"/>
  <c r="F17" i="486"/>
  <c r="AJ2" i="41"/>
  <c r="AK2" i="41"/>
  <c r="AH2" i="41"/>
  <c r="AI2" i="41"/>
  <c r="AF2" i="41"/>
  <c r="AG2" i="41"/>
  <c r="AE2" i="41"/>
  <c r="AC2" i="41"/>
  <c r="AD2" i="41"/>
  <c r="AA2" i="41"/>
  <c r="AB2" i="41"/>
  <c r="Y2" i="41"/>
  <c r="Z2" i="41"/>
  <c r="AC2" i="480"/>
  <c r="AC3" i="480"/>
  <c r="AC4" i="480"/>
  <c r="AC5" i="480" s="1"/>
  <c r="AC6" i="480" s="1"/>
  <c r="AC7" i="480" s="1"/>
  <c r="Y2" i="480"/>
  <c r="Y3" i="480" s="1"/>
  <c r="Y4" i="480" s="1"/>
  <c r="Y5" i="480" s="1"/>
  <c r="Y6" i="480" s="1"/>
  <c r="Y7" i="480" s="1"/>
  <c r="AR1" i="480"/>
  <c r="AS1" i="480"/>
  <c r="AT1" i="480"/>
  <c r="AR2" i="480"/>
  <c r="AS2" i="480"/>
  <c r="AT2" i="480"/>
  <c r="AR3" i="480"/>
  <c r="AS3" i="480"/>
  <c r="AT3" i="480"/>
  <c r="AR4" i="480"/>
  <c r="AS4" i="480"/>
  <c r="AT4" i="480"/>
  <c r="AR5" i="480"/>
  <c r="AS5" i="480"/>
  <c r="AT5" i="480"/>
  <c r="AR6" i="480"/>
  <c r="AS6" i="480"/>
  <c r="AT6" i="480"/>
  <c r="AR7" i="480"/>
  <c r="AS7" i="480"/>
  <c r="AT7" i="480"/>
  <c r="AN1" i="480"/>
  <c r="AO1" i="480"/>
  <c r="AP1" i="480"/>
  <c r="AN2" i="480"/>
  <c r="AO2" i="480"/>
  <c r="AP2" i="480"/>
  <c r="AN3" i="480"/>
  <c r="AO3" i="480"/>
  <c r="AP3" i="480"/>
  <c r="AN4" i="480"/>
  <c r="AO4" i="480"/>
  <c r="AP4" i="480"/>
  <c r="AN5" i="480"/>
  <c r="AO5" i="480"/>
  <c r="AP5" i="480"/>
  <c r="AN6" i="480"/>
  <c r="AO6" i="480"/>
  <c r="AP6" i="480"/>
  <c r="AN7" i="480"/>
  <c r="AO7" i="480"/>
  <c r="AP7" i="480"/>
  <c r="AL1" i="480"/>
  <c r="AK1" i="480"/>
  <c r="AJ1" i="480"/>
  <c r="AH1" i="480"/>
  <c r="AH2" i="480"/>
  <c r="AH3" i="480"/>
  <c r="AH4" i="480"/>
  <c r="AH5" i="480"/>
  <c r="AH6" i="480"/>
  <c r="AH7" i="480"/>
  <c r="AG1" i="480"/>
  <c r="AG2" i="480"/>
  <c r="AG3" i="480"/>
  <c r="AG4" i="480"/>
  <c r="AG5" i="480"/>
  <c r="AG6" i="480"/>
  <c r="AG7" i="480"/>
  <c r="AE1" i="480"/>
  <c r="AE2" i="480"/>
  <c r="AE3" i="480"/>
  <c r="AE4" i="480"/>
  <c r="AE5" i="480"/>
  <c r="AE6" i="480"/>
  <c r="AE7" i="480"/>
  <c r="AD1" i="480"/>
  <c r="AD2" i="480"/>
  <c r="AD3" i="480"/>
  <c r="AD4" i="480"/>
  <c r="AD5" i="480"/>
  <c r="AD6" i="480"/>
  <c r="AD7" i="480"/>
  <c r="S2" i="41"/>
  <c r="T2" i="41"/>
  <c r="Q2" i="41"/>
  <c r="R2" i="41"/>
  <c r="O2" i="41"/>
  <c r="P2" i="41"/>
  <c r="N2" i="41"/>
  <c r="L2" i="41"/>
  <c r="M2" i="41"/>
  <c r="J2" i="41"/>
  <c r="K2" i="41"/>
  <c r="H2" i="41"/>
  <c r="I2" i="41"/>
  <c r="E2" i="480"/>
  <c r="E3" i="480"/>
  <c r="E4" i="480"/>
  <c r="E5" i="480" s="1"/>
  <c r="E6" i="480" s="1"/>
  <c r="E7" i="480" s="1"/>
  <c r="A2" i="480"/>
  <c r="A3" i="480" s="1"/>
  <c r="A4" i="480" s="1"/>
  <c r="A5" i="480" s="1"/>
  <c r="A6" i="480" s="1"/>
  <c r="A7" i="480" s="1"/>
  <c r="T1" i="480"/>
  <c r="U1" i="480"/>
  <c r="V1" i="480"/>
  <c r="T2" i="480"/>
  <c r="U2" i="480"/>
  <c r="V2" i="480"/>
  <c r="T3" i="480"/>
  <c r="U3" i="480"/>
  <c r="V3" i="480"/>
  <c r="T4" i="480"/>
  <c r="U4" i="480"/>
  <c r="V4" i="480"/>
  <c r="T5" i="480"/>
  <c r="U5" i="480"/>
  <c r="V5" i="480"/>
  <c r="T6" i="480"/>
  <c r="U6" i="480"/>
  <c r="V6" i="480"/>
  <c r="T7" i="480"/>
  <c r="U7" i="480"/>
  <c r="V7" i="480"/>
  <c r="P1" i="480"/>
  <c r="Q1" i="480"/>
  <c r="R1" i="480"/>
  <c r="P2" i="480"/>
  <c r="Q2" i="480"/>
  <c r="R2" i="480"/>
  <c r="P3" i="480"/>
  <c r="Q3" i="480"/>
  <c r="R3" i="480"/>
  <c r="P4" i="480"/>
  <c r="Q4" i="480"/>
  <c r="R4" i="480"/>
  <c r="P5" i="480"/>
  <c r="Q5" i="480"/>
  <c r="R5" i="480"/>
  <c r="P6" i="480"/>
  <c r="Q6" i="480"/>
  <c r="R6" i="480"/>
  <c r="P7" i="480"/>
  <c r="Q7" i="480"/>
  <c r="R7" i="480"/>
  <c r="N1" i="480"/>
  <c r="M1" i="480"/>
  <c r="L1" i="480"/>
  <c r="J1" i="480"/>
  <c r="J2" i="480"/>
  <c r="J3" i="480"/>
  <c r="J4" i="480"/>
  <c r="J5" i="480"/>
  <c r="J6" i="480"/>
  <c r="J7" i="480"/>
  <c r="I1" i="480"/>
  <c r="I2" i="480"/>
  <c r="I3" i="480"/>
  <c r="I4" i="480"/>
  <c r="I5" i="480"/>
  <c r="I6" i="480"/>
  <c r="I7" i="480"/>
  <c r="G1" i="480"/>
  <c r="G2" i="480"/>
  <c r="G3" i="480"/>
  <c r="G4" i="480"/>
  <c r="G5" i="480"/>
  <c r="G6" i="480"/>
  <c r="G7" i="480"/>
  <c r="F1" i="480"/>
  <c r="F2" i="480"/>
  <c r="F3" i="480"/>
  <c r="F4" i="480"/>
  <c r="F5" i="480"/>
  <c r="F6" i="480"/>
  <c r="F7" i="480"/>
</calcChain>
</file>

<file path=xl/sharedStrings.xml><?xml version="1.0" encoding="utf-8"?>
<sst xmlns="http://schemas.openxmlformats.org/spreadsheetml/2006/main" count="92" uniqueCount="23">
  <si>
    <t>Old Fasset</t>
  </si>
  <si>
    <t>C:\Users\jove\Desktop\main\tags\Fassetv2.2rc\scenarier</t>
  </si>
  <si>
    <t>fasset2.exe</t>
  </si>
  <si>
    <t>K</t>
  </si>
  <si>
    <t>New Fasset</t>
  </si>
  <si>
    <t>Observation Data</t>
  </si>
  <si>
    <t>Path</t>
  </si>
  <si>
    <t>Execuitable</t>
  </si>
  <si>
    <t>Filename</t>
  </si>
  <si>
    <t xml:space="preserve">Columns </t>
  </si>
  <si>
    <t>sum of square</t>
  </si>
  <si>
    <t>start row</t>
  </si>
  <si>
    <t>end row</t>
  </si>
  <si>
    <t>field0.xls</t>
  </si>
  <si>
    <t>C:\Users\jove\Desktop\main\tags\Fassetv2.2rc\scenarier\scenarie26\observed</t>
  </si>
  <si>
    <t xml:space="preserve">mean bias error </t>
  </si>
  <si>
    <t>'The root mean squared error of prediction (RMSE)</t>
  </si>
  <si>
    <t>SD</t>
  </si>
  <si>
    <t>RMPSE</t>
  </si>
  <si>
    <t>R2</t>
  </si>
  <si>
    <t>C:\Users\jove\Desktop\main\tags\Fassetv2.2rc\scenarier\test</t>
  </si>
  <si>
    <t>k</t>
  </si>
  <si>
    <t xml:space="preserve">Model efficiency (ME)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</si>
</sst>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math1!$A$1:$A$7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math1!$B$1:$B$7</c:f>
              <c:numCache>
                <c:formatCode>General</c:formatCode>
                <c:ptCount val="7"/>
                <c:pt idx="0">
                  <c:v>12</c:v>
                </c:pt>
                <c:pt idx="1">
                  <c:v>13</c:v>
                </c:pt>
                <c:pt idx="2">
                  <c:v>15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math1!$A$1:$A$7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math1!$C$1:$C$7</c:f>
              <c:numCache>
                <c:formatCode>General</c:formatCode>
                <c:ptCount val="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math1!$A$1:$A$7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math1!$D$1:$D$7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73728"/>
        <c:axId val="137275264"/>
      </c:scatterChart>
      <c:valAx>
        <c:axId val="13727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275264"/>
        <c:crosses val="autoZero"/>
        <c:crossBetween val="midCat"/>
      </c:valAx>
      <c:valAx>
        <c:axId val="13727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273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math1!$E$1:$E$7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math1!$F$1:$F$7</c:f>
              <c:numCache>
                <c:formatCode>General</c:formatCode>
                <c:ptCount val="7"/>
                <c:pt idx="0">
                  <c:v>121</c:v>
                </c:pt>
                <c:pt idx="1">
                  <c:v>121</c:v>
                </c:pt>
                <c:pt idx="2">
                  <c:v>144</c:v>
                </c:pt>
                <c:pt idx="3">
                  <c:v>144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math1!$E$1:$E$7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math1!$G$1:$G$7</c:f>
              <c:numCache>
                <c:formatCode>General</c:formatCode>
                <c:ptCount val="7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4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06432"/>
        <c:axId val="134402816"/>
      </c:scatterChart>
      <c:valAx>
        <c:axId val="13430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4402816"/>
        <c:crosses val="autoZero"/>
        <c:crossBetween val="midCat"/>
      </c:valAx>
      <c:valAx>
        <c:axId val="13440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306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math1!$Y$1:$Y$7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math1!$Z$1:$Z$7</c:f>
              <c:numCache>
                <c:formatCode>General</c:formatCode>
                <c:ptCount val="7"/>
                <c:pt idx="0">
                  <c:v>12</c:v>
                </c:pt>
                <c:pt idx="1">
                  <c:v>13</c:v>
                </c:pt>
                <c:pt idx="2">
                  <c:v>15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math1!$Y$1:$Y$7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math1!$AA$1:$AA$7</c:f>
              <c:numCache>
                <c:formatCode>General</c:formatCode>
                <c:ptCount val="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math1!$Y$1:$Y$7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math1!$AB$1:$AB$7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0896"/>
        <c:axId val="52402432"/>
      </c:scatterChart>
      <c:valAx>
        <c:axId val="5240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402432"/>
        <c:crosses val="autoZero"/>
        <c:crossBetween val="midCat"/>
      </c:valAx>
      <c:valAx>
        <c:axId val="5240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4008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math1!$AC$1:$AC$7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math1!$AD$1:$AD$7</c:f>
              <c:numCache>
                <c:formatCode>General</c:formatCode>
                <c:ptCount val="7"/>
                <c:pt idx="0">
                  <c:v>121</c:v>
                </c:pt>
                <c:pt idx="1">
                  <c:v>121</c:v>
                </c:pt>
                <c:pt idx="2">
                  <c:v>144</c:v>
                </c:pt>
                <c:pt idx="3">
                  <c:v>144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math1!$AC$1:$AC$7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math1!$AE$1:$AE$7</c:f>
              <c:numCache>
                <c:formatCode>General</c:formatCode>
                <c:ptCount val="7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4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54272"/>
        <c:axId val="143697024"/>
      </c:scatterChart>
      <c:valAx>
        <c:axId val="14365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3697024"/>
        <c:crosses val="autoZero"/>
        <c:crossBetween val="midCat"/>
      </c:valAx>
      <c:valAx>
        <c:axId val="14369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654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math2!$A$1:$A$17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math2!$B$1:$B$17</c:f>
              <c:numCache>
                <c:formatCode>General</c:formatCode>
                <c:ptCount val="17"/>
                <c:pt idx="0">
                  <c:v>12</c:v>
                </c:pt>
                <c:pt idx="1">
                  <c:v>13</c:v>
                </c:pt>
                <c:pt idx="2">
                  <c:v>15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math2!$A$1:$A$17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math2!$C$1:$C$17</c:f>
              <c:numCache>
                <c:formatCode>General</c:formatCode>
                <c:ptCount val="17"/>
                <c:pt idx="0">
                  <c:v>12</c:v>
                </c:pt>
                <c:pt idx="1">
                  <c:v>13</c:v>
                </c:pt>
                <c:pt idx="2">
                  <c:v>15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math2!$A$1:$A$17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math2!$D$1:$D$17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09568"/>
        <c:axId val="155311104"/>
      </c:scatterChart>
      <c:valAx>
        <c:axId val="15530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311104"/>
        <c:crosses val="autoZero"/>
        <c:crossBetween val="midCat"/>
      </c:valAx>
      <c:valAx>
        <c:axId val="15531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309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math2!$E$1:$E$17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math2!$F$1:$F$17</c:f>
              <c:numCache>
                <c:formatCode>General</c:formatCode>
                <c:ptCount val="17"/>
                <c:pt idx="0">
                  <c:v>121</c:v>
                </c:pt>
                <c:pt idx="1">
                  <c:v>121</c:v>
                </c:pt>
                <c:pt idx="2">
                  <c:v>144</c:v>
                </c:pt>
                <c:pt idx="3">
                  <c:v>144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math2!$E$1:$E$17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math2!$G$1:$G$17</c:f>
              <c:numCache>
                <c:formatCode>General</c:formatCode>
                <c:ptCount val="17"/>
                <c:pt idx="0">
                  <c:v>121</c:v>
                </c:pt>
                <c:pt idx="1">
                  <c:v>121</c:v>
                </c:pt>
                <c:pt idx="2">
                  <c:v>144</c:v>
                </c:pt>
                <c:pt idx="3">
                  <c:v>144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79264"/>
        <c:axId val="155189248"/>
      </c:scatterChart>
      <c:valAx>
        <c:axId val="9837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189248"/>
        <c:crosses val="autoZero"/>
        <c:crossBetween val="midCat"/>
      </c:valAx>
      <c:valAx>
        <c:axId val="15518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379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7</xdr:col>
      <xdr:colOff>304800</xdr:colOff>
      <xdr:row>29</xdr:row>
      <xdr:rowOff>76200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7</xdr:col>
      <xdr:colOff>304800</xdr:colOff>
      <xdr:row>46</xdr:row>
      <xdr:rowOff>76200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7</xdr:col>
      <xdr:colOff>304800</xdr:colOff>
      <xdr:row>61</xdr:row>
      <xdr:rowOff>76200</xdr:rowOff>
    </xdr:to>
    <xdr:graphicFrame macro="">
      <xdr:nvGraphicFramePr>
        <xdr:cNvPr id="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7</xdr:col>
      <xdr:colOff>304800</xdr:colOff>
      <xdr:row>29</xdr:row>
      <xdr:rowOff>76200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21</xdr:row>
          <xdr:rowOff>133350</xdr:rowOff>
        </xdr:from>
        <xdr:to>
          <xdr:col>20</xdr:col>
          <xdr:colOff>0</xdr:colOff>
          <xdr:row>31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start comparison</a:t>
              </a:r>
              <a:endParaRPr lang="da-DK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7"/>
  <sheetViews>
    <sheetView topLeftCell="P1" workbookViewId="0">
      <selection activeCell="AC2" sqref="AC2:AC7"/>
    </sheetView>
  </sheetViews>
  <sheetFormatPr defaultRowHeight="15" x14ac:dyDescent="0.25"/>
  <sheetData>
    <row r="1" spans="1:46" x14ac:dyDescent="0.25">
      <c r="A1">
        <v>1</v>
      </c>
      <c r="B1">
        <v>12</v>
      </c>
      <c r="C1">
        <v>7</v>
      </c>
      <c r="D1">
        <v>1</v>
      </c>
      <c r="E1">
        <v>1</v>
      </c>
      <c r="F1">
        <f t="shared" ref="F1:F7" si="0">(D1-B1)^2</f>
        <v>121</v>
      </c>
      <c r="G1">
        <f t="shared" ref="G1:G7" si="1">(D1-C1)^2</f>
        <v>36</v>
      </c>
      <c r="I1">
        <f t="shared" ref="I1:I7" si="2">(D1-B1)</f>
        <v>-11</v>
      </c>
      <c r="J1">
        <f t="shared" ref="J1:J7" si="3">(D1-C1)</f>
        <v>-6</v>
      </c>
      <c r="L1">
        <f>SUM(B1:B7)/7</f>
        <v>8</v>
      </c>
      <c r="M1">
        <f>SUM(C1:C7)/7</f>
        <v>4.1428571428571432</v>
      </c>
      <c r="N1">
        <f>SUM(D1:D7)/7</f>
        <v>1.4285714285714286</v>
      </c>
      <c r="P1">
        <f t="shared" ref="P1:R7" si="4">(B1-L$1)^2</f>
        <v>16</v>
      </c>
      <c r="Q1">
        <f t="shared" si="4"/>
        <v>8.1632653061224474</v>
      </c>
      <c r="R1">
        <f t="shared" si="4"/>
        <v>0.18367346938775514</v>
      </c>
      <c r="T1">
        <f t="shared" ref="T1:V7" si="5">(B1-L$1)</f>
        <v>4</v>
      </c>
      <c r="U1">
        <f t="shared" si="5"/>
        <v>2.8571428571428568</v>
      </c>
      <c r="V1">
        <f t="shared" si="5"/>
        <v>-0.4285714285714286</v>
      </c>
      <c r="Y1">
        <v>1</v>
      </c>
      <c r="Z1">
        <v>12</v>
      </c>
      <c r="AA1">
        <v>7</v>
      </c>
      <c r="AB1">
        <v>1</v>
      </c>
      <c r="AC1">
        <v>1</v>
      </c>
      <c r="AD1">
        <f t="shared" ref="AD1:AD7" si="6">(AB1-Z1)^2</f>
        <v>121</v>
      </c>
      <c r="AE1">
        <f t="shared" ref="AE1:AE7" si="7">(AB1-AA1)^2</f>
        <v>36</v>
      </c>
      <c r="AG1">
        <f t="shared" ref="AG1:AG7" si="8">(AB1-Z1)</f>
        <v>-11</v>
      </c>
      <c r="AH1">
        <f t="shared" ref="AH1:AH7" si="9">(AB1-AA1)</f>
        <v>-6</v>
      </c>
      <c r="AJ1">
        <f>SUM(Z1:Z7)/7</f>
        <v>8</v>
      </c>
      <c r="AK1">
        <f>SUM(AA1:AA7)/7</f>
        <v>4.1428571428571432</v>
      </c>
      <c r="AL1">
        <f>SUM(AB1:AB7)/7</f>
        <v>1.4285714285714286</v>
      </c>
      <c r="AN1">
        <f t="shared" ref="AN1:AP7" si="10">(Z1-AJ$1)^2</f>
        <v>16</v>
      </c>
      <c r="AO1">
        <f t="shared" si="10"/>
        <v>8.1632653061224474</v>
      </c>
      <c r="AP1">
        <f t="shared" si="10"/>
        <v>0.18367346938775514</v>
      </c>
      <c r="AR1">
        <f t="shared" ref="AR1:AT7" si="11">(Z1-AJ$1)</f>
        <v>4</v>
      </c>
      <c r="AS1">
        <f t="shared" si="11"/>
        <v>2.8571428571428568</v>
      </c>
      <c r="AT1">
        <f t="shared" si="11"/>
        <v>-0.4285714285714286</v>
      </c>
    </row>
    <row r="2" spans="1:46" x14ac:dyDescent="0.25">
      <c r="A2">
        <f t="shared" ref="A2:A7" si="12">(A1+1)</f>
        <v>2</v>
      </c>
      <c r="B2">
        <v>13</v>
      </c>
      <c r="C2">
        <v>8</v>
      </c>
      <c r="D2">
        <v>2</v>
      </c>
      <c r="E2">
        <f t="shared" ref="E2:E7" si="13">(E1+1)</f>
        <v>2</v>
      </c>
      <c r="F2">
        <f t="shared" si="0"/>
        <v>121</v>
      </c>
      <c r="G2">
        <f t="shared" si="1"/>
        <v>36</v>
      </c>
      <c r="I2">
        <f t="shared" si="2"/>
        <v>-11</v>
      </c>
      <c r="J2">
        <f t="shared" si="3"/>
        <v>-6</v>
      </c>
      <c r="P2">
        <f t="shared" si="4"/>
        <v>25</v>
      </c>
      <c r="Q2">
        <f t="shared" si="4"/>
        <v>14.877551020408161</v>
      </c>
      <c r="R2">
        <f t="shared" si="4"/>
        <v>0.32653061224489793</v>
      </c>
      <c r="T2">
        <f t="shared" si="5"/>
        <v>5</v>
      </c>
      <c r="U2">
        <f t="shared" si="5"/>
        <v>3.8571428571428568</v>
      </c>
      <c r="V2">
        <f t="shared" si="5"/>
        <v>0.5714285714285714</v>
      </c>
      <c r="Y2">
        <f t="shared" ref="Y2:Y7" si="14">(Y1+1)</f>
        <v>2</v>
      </c>
      <c r="Z2">
        <v>13</v>
      </c>
      <c r="AA2">
        <v>8</v>
      </c>
      <c r="AB2">
        <v>2</v>
      </c>
      <c r="AC2">
        <f t="shared" ref="AC2:AC7" si="15">(AC1+1)</f>
        <v>2</v>
      </c>
      <c r="AD2">
        <f t="shared" si="6"/>
        <v>121</v>
      </c>
      <c r="AE2">
        <f t="shared" si="7"/>
        <v>36</v>
      </c>
      <c r="AG2">
        <f t="shared" si="8"/>
        <v>-11</v>
      </c>
      <c r="AH2">
        <f t="shared" si="9"/>
        <v>-6</v>
      </c>
      <c r="AN2">
        <f t="shared" si="10"/>
        <v>25</v>
      </c>
      <c r="AO2">
        <f t="shared" si="10"/>
        <v>14.877551020408161</v>
      </c>
      <c r="AP2">
        <f t="shared" si="10"/>
        <v>0.32653061224489793</v>
      </c>
      <c r="AR2">
        <f t="shared" si="11"/>
        <v>5</v>
      </c>
      <c r="AS2">
        <f t="shared" si="11"/>
        <v>3.8571428571428568</v>
      </c>
      <c r="AT2">
        <f t="shared" si="11"/>
        <v>0.5714285714285714</v>
      </c>
    </row>
    <row r="3" spans="1:46" x14ac:dyDescent="0.25">
      <c r="A3">
        <f t="shared" si="12"/>
        <v>3</v>
      </c>
      <c r="B3">
        <v>15</v>
      </c>
      <c r="C3">
        <v>9</v>
      </c>
      <c r="D3">
        <v>3</v>
      </c>
      <c r="E3">
        <f t="shared" si="13"/>
        <v>3</v>
      </c>
      <c r="F3">
        <f t="shared" si="0"/>
        <v>144</v>
      </c>
      <c r="G3">
        <f t="shared" si="1"/>
        <v>36</v>
      </c>
      <c r="I3">
        <f t="shared" si="2"/>
        <v>-12</v>
      </c>
      <c r="J3">
        <f t="shared" si="3"/>
        <v>-6</v>
      </c>
      <c r="P3">
        <f t="shared" si="4"/>
        <v>49</v>
      </c>
      <c r="Q3">
        <f t="shared" si="4"/>
        <v>23.591836734693874</v>
      </c>
      <c r="R3">
        <f t="shared" si="4"/>
        <v>2.4693877551020407</v>
      </c>
      <c r="T3">
        <f t="shared" si="5"/>
        <v>7</v>
      </c>
      <c r="U3">
        <f t="shared" si="5"/>
        <v>4.8571428571428568</v>
      </c>
      <c r="V3">
        <f t="shared" si="5"/>
        <v>1.5714285714285714</v>
      </c>
      <c r="Y3">
        <f t="shared" si="14"/>
        <v>3</v>
      </c>
      <c r="Z3">
        <v>15</v>
      </c>
      <c r="AA3">
        <v>9</v>
      </c>
      <c r="AB3">
        <v>3</v>
      </c>
      <c r="AC3">
        <f t="shared" si="15"/>
        <v>3</v>
      </c>
      <c r="AD3">
        <f t="shared" si="6"/>
        <v>144</v>
      </c>
      <c r="AE3">
        <f t="shared" si="7"/>
        <v>36</v>
      </c>
      <c r="AG3">
        <f t="shared" si="8"/>
        <v>-12</v>
      </c>
      <c r="AH3">
        <f t="shared" si="9"/>
        <v>-6</v>
      </c>
      <c r="AN3">
        <f t="shared" si="10"/>
        <v>49</v>
      </c>
      <c r="AO3">
        <f t="shared" si="10"/>
        <v>23.591836734693874</v>
      </c>
      <c r="AP3">
        <f t="shared" si="10"/>
        <v>2.4693877551020407</v>
      </c>
      <c r="AR3">
        <f t="shared" si="11"/>
        <v>7</v>
      </c>
      <c r="AS3">
        <f t="shared" si="11"/>
        <v>4.8571428571428568</v>
      </c>
      <c r="AT3">
        <f t="shared" si="11"/>
        <v>1.5714285714285714</v>
      </c>
    </row>
    <row r="4" spans="1:46" x14ac:dyDescent="0.25">
      <c r="A4">
        <f t="shared" si="12"/>
        <v>4</v>
      </c>
      <c r="B4">
        <v>16</v>
      </c>
      <c r="C4">
        <v>2</v>
      </c>
      <c r="D4">
        <v>4</v>
      </c>
      <c r="E4">
        <f t="shared" si="13"/>
        <v>4</v>
      </c>
      <c r="F4">
        <f t="shared" si="0"/>
        <v>144</v>
      </c>
      <c r="G4">
        <f t="shared" si="1"/>
        <v>4</v>
      </c>
      <c r="I4">
        <f t="shared" si="2"/>
        <v>-12</v>
      </c>
      <c r="J4">
        <f t="shared" si="3"/>
        <v>2</v>
      </c>
      <c r="P4">
        <f t="shared" si="4"/>
        <v>64</v>
      </c>
      <c r="Q4">
        <f t="shared" si="4"/>
        <v>4.5918367346938789</v>
      </c>
      <c r="R4">
        <f t="shared" si="4"/>
        <v>6.6122448979591821</v>
      </c>
      <c r="T4">
        <f t="shared" si="5"/>
        <v>8</v>
      </c>
      <c r="U4">
        <f t="shared" si="5"/>
        <v>-2.1428571428571432</v>
      </c>
      <c r="V4">
        <f t="shared" si="5"/>
        <v>2.5714285714285712</v>
      </c>
      <c r="Y4">
        <f t="shared" si="14"/>
        <v>4</v>
      </c>
      <c r="Z4">
        <v>16</v>
      </c>
      <c r="AA4">
        <v>2</v>
      </c>
      <c r="AB4">
        <v>4</v>
      </c>
      <c r="AC4">
        <f t="shared" si="15"/>
        <v>4</v>
      </c>
      <c r="AD4">
        <f t="shared" si="6"/>
        <v>144</v>
      </c>
      <c r="AE4">
        <f t="shared" si="7"/>
        <v>4</v>
      </c>
      <c r="AG4">
        <f t="shared" si="8"/>
        <v>-12</v>
      </c>
      <c r="AH4">
        <f t="shared" si="9"/>
        <v>2</v>
      </c>
      <c r="AN4">
        <f t="shared" si="10"/>
        <v>64</v>
      </c>
      <c r="AO4">
        <f t="shared" si="10"/>
        <v>4.5918367346938789</v>
      </c>
      <c r="AP4">
        <f t="shared" si="10"/>
        <v>6.6122448979591821</v>
      </c>
      <c r="AR4">
        <f t="shared" si="11"/>
        <v>8</v>
      </c>
      <c r="AS4">
        <f t="shared" si="11"/>
        <v>-2.1428571428571432</v>
      </c>
      <c r="AT4">
        <f t="shared" si="11"/>
        <v>2.5714285714285712</v>
      </c>
    </row>
    <row r="5" spans="1:46" x14ac:dyDescent="0.25">
      <c r="A5">
        <f t="shared" si="12"/>
        <v>5</v>
      </c>
      <c r="B5">
        <v>0</v>
      </c>
      <c r="C5">
        <v>3</v>
      </c>
      <c r="D5">
        <v>0</v>
      </c>
      <c r="E5">
        <f t="shared" si="13"/>
        <v>5</v>
      </c>
      <c r="F5">
        <f t="shared" si="0"/>
        <v>0</v>
      </c>
      <c r="G5">
        <f t="shared" si="1"/>
        <v>9</v>
      </c>
      <c r="I5">
        <f t="shared" si="2"/>
        <v>0</v>
      </c>
      <c r="J5">
        <f t="shared" si="3"/>
        <v>-3</v>
      </c>
      <c r="P5">
        <f t="shared" si="4"/>
        <v>64</v>
      </c>
      <c r="Q5">
        <f t="shared" si="4"/>
        <v>1.3061224489795926</v>
      </c>
      <c r="R5">
        <f t="shared" si="4"/>
        <v>2.0408163265306123</v>
      </c>
      <c r="T5">
        <f t="shared" si="5"/>
        <v>-8</v>
      </c>
      <c r="U5">
        <f t="shared" si="5"/>
        <v>-1.1428571428571432</v>
      </c>
      <c r="V5">
        <f t="shared" si="5"/>
        <v>-1.4285714285714286</v>
      </c>
      <c r="Y5">
        <f t="shared" si="14"/>
        <v>5</v>
      </c>
      <c r="Z5">
        <v>0</v>
      </c>
      <c r="AA5">
        <v>3</v>
      </c>
      <c r="AB5">
        <v>0</v>
      </c>
      <c r="AC5">
        <f t="shared" si="15"/>
        <v>5</v>
      </c>
      <c r="AD5">
        <f t="shared" si="6"/>
        <v>0</v>
      </c>
      <c r="AE5">
        <f t="shared" si="7"/>
        <v>9</v>
      </c>
      <c r="AG5">
        <f t="shared" si="8"/>
        <v>0</v>
      </c>
      <c r="AH5">
        <f t="shared" si="9"/>
        <v>-3</v>
      </c>
      <c r="AN5">
        <f t="shared" si="10"/>
        <v>64</v>
      </c>
      <c r="AO5">
        <f t="shared" si="10"/>
        <v>1.3061224489795926</v>
      </c>
      <c r="AP5">
        <f t="shared" si="10"/>
        <v>2.0408163265306123</v>
      </c>
      <c r="AR5">
        <f t="shared" si="11"/>
        <v>-8</v>
      </c>
      <c r="AS5">
        <f t="shared" si="11"/>
        <v>-1.1428571428571432</v>
      </c>
      <c r="AT5">
        <f t="shared" si="11"/>
        <v>-1.4285714285714286</v>
      </c>
    </row>
    <row r="6" spans="1:46" x14ac:dyDescent="0.25">
      <c r="A6">
        <f t="shared" si="12"/>
        <v>6</v>
      </c>
      <c r="B6">
        <v>0</v>
      </c>
      <c r="C6">
        <v>0</v>
      </c>
      <c r="D6">
        <v>0</v>
      </c>
      <c r="E6">
        <f t="shared" si="13"/>
        <v>6</v>
      </c>
      <c r="F6">
        <f t="shared" si="0"/>
        <v>0</v>
      </c>
      <c r="G6">
        <f t="shared" si="1"/>
        <v>0</v>
      </c>
      <c r="I6">
        <f t="shared" si="2"/>
        <v>0</v>
      </c>
      <c r="J6">
        <f t="shared" si="3"/>
        <v>0</v>
      </c>
      <c r="P6">
        <f t="shared" si="4"/>
        <v>64</v>
      </c>
      <c r="Q6">
        <f t="shared" si="4"/>
        <v>17.163265306122451</v>
      </c>
      <c r="R6">
        <f t="shared" si="4"/>
        <v>2.0408163265306123</v>
      </c>
      <c r="T6">
        <f t="shared" si="5"/>
        <v>-8</v>
      </c>
      <c r="U6">
        <f t="shared" si="5"/>
        <v>-4.1428571428571432</v>
      </c>
      <c r="V6">
        <f t="shared" si="5"/>
        <v>-1.4285714285714286</v>
      </c>
      <c r="Y6">
        <f t="shared" si="14"/>
        <v>6</v>
      </c>
      <c r="Z6">
        <v>0</v>
      </c>
      <c r="AA6">
        <v>0</v>
      </c>
      <c r="AB6">
        <v>0</v>
      </c>
      <c r="AC6">
        <f t="shared" si="15"/>
        <v>6</v>
      </c>
      <c r="AD6">
        <f t="shared" si="6"/>
        <v>0</v>
      </c>
      <c r="AE6">
        <f t="shared" si="7"/>
        <v>0</v>
      </c>
      <c r="AG6">
        <f t="shared" si="8"/>
        <v>0</v>
      </c>
      <c r="AH6">
        <f t="shared" si="9"/>
        <v>0</v>
      </c>
      <c r="AN6">
        <f t="shared" si="10"/>
        <v>64</v>
      </c>
      <c r="AO6">
        <f t="shared" si="10"/>
        <v>17.163265306122451</v>
      </c>
      <c r="AP6">
        <f t="shared" si="10"/>
        <v>2.0408163265306123</v>
      </c>
      <c r="AR6">
        <f t="shared" si="11"/>
        <v>-8</v>
      </c>
      <c r="AS6">
        <f t="shared" si="11"/>
        <v>-4.1428571428571432</v>
      </c>
      <c r="AT6">
        <f t="shared" si="11"/>
        <v>-1.4285714285714286</v>
      </c>
    </row>
    <row r="7" spans="1:46" x14ac:dyDescent="0.25">
      <c r="A7">
        <f t="shared" si="12"/>
        <v>7</v>
      </c>
      <c r="B7">
        <v>0</v>
      </c>
      <c r="C7">
        <v>0</v>
      </c>
      <c r="D7">
        <v>0</v>
      </c>
      <c r="E7">
        <f t="shared" si="13"/>
        <v>7</v>
      </c>
      <c r="F7">
        <f t="shared" si="0"/>
        <v>0</v>
      </c>
      <c r="G7">
        <f t="shared" si="1"/>
        <v>0</v>
      </c>
      <c r="I7">
        <f t="shared" si="2"/>
        <v>0</v>
      </c>
      <c r="J7">
        <f t="shared" si="3"/>
        <v>0</v>
      </c>
      <c r="P7">
        <f t="shared" si="4"/>
        <v>64</v>
      </c>
      <c r="Q7">
        <f t="shared" si="4"/>
        <v>17.163265306122451</v>
      </c>
      <c r="R7">
        <f t="shared" si="4"/>
        <v>2.0408163265306123</v>
      </c>
      <c r="T7">
        <f t="shared" si="5"/>
        <v>-8</v>
      </c>
      <c r="U7">
        <f t="shared" si="5"/>
        <v>-4.1428571428571432</v>
      </c>
      <c r="V7">
        <f t="shared" si="5"/>
        <v>-1.4285714285714286</v>
      </c>
      <c r="Y7">
        <f t="shared" si="14"/>
        <v>7</v>
      </c>
      <c r="Z7">
        <v>0</v>
      </c>
      <c r="AA7">
        <v>0</v>
      </c>
      <c r="AB7">
        <v>0</v>
      </c>
      <c r="AC7">
        <f t="shared" si="15"/>
        <v>7</v>
      </c>
      <c r="AD7">
        <f t="shared" si="6"/>
        <v>0</v>
      </c>
      <c r="AE7">
        <f t="shared" si="7"/>
        <v>0</v>
      </c>
      <c r="AG7">
        <f t="shared" si="8"/>
        <v>0</v>
      </c>
      <c r="AH7">
        <f t="shared" si="9"/>
        <v>0</v>
      </c>
      <c r="AN7">
        <f t="shared" si="10"/>
        <v>64</v>
      </c>
      <c r="AO7">
        <f t="shared" si="10"/>
        <v>17.163265306122451</v>
      </c>
      <c r="AP7">
        <f t="shared" si="10"/>
        <v>2.0408163265306123</v>
      </c>
      <c r="AR7">
        <f t="shared" si="11"/>
        <v>-8</v>
      </c>
      <c r="AS7">
        <f t="shared" si="11"/>
        <v>-4.1428571428571432</v>
      </c>
      <c r="AT7">
        <f t="shared" si="11"/>
        <v>-1.4285714285714286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7"/>
  <sheetViews>
    <sheetView workbookViewId="0">
      <selection activeCell="E2" sqref="E2:E17"/>
    </sheetView>
  </sheetViews>
  <sheetFormatPr defaultRowHeight="15" x14ac:dyDescent="0.25"/>
  <sheetData>
    <row r="1" spans="1:22" x14ac:dyDescent="0.25">
      <c r="A1">
        <v>1</v>
      </c>
      <c r="B1">
        <v>12</v>
      </c>
      <c r="C1">
        <v>12</v>
      </c>
      <c r="D1">
        <v>1</v>
      </c>
      <c r="E1">
        <v>1</v>
      </c>
      <c r="F1">
        <f t="shared" ref="F1:F17" si="0">(D1-B1)^2</f>
        <v>121</v>
      </c>
      <c r="G1">
        <f t="shared" ref="G1:G17" si="1">(D1-C1)^2</f>
        <v>121</v>
      </c>
      <c r="I1">
        <f t="shared" ref="I1:I17" si="2">(D1-B1)</f>
        <v>-11</v>
      </c>
      <c r="J1">
        <f t="shared" ref="J1:J17" si="3">(D1-C1)</f>
        <v>-11</v>
      </c>
      <c r="L1">
        <f>SUM(B1:B17)/17</f>
        <v>3.2941176470588234</v>
      </c>
      <c r="M1">
        <f>SUM(C1:C17)/17</f>
        <v>3.2941176470588234</v>
      </c>
      <c r="N1">
        <f>SUM(D1:D17)/17</f>
        <v>0.58823529411764708</v>
      </c>
      <c r="P1">
        <f t="shared" ref="P1:P17" si="4">(B1-L$1)^2</f>
        <v>75.792387543252616</v>
      </c>
      <c r="Q1">
        <f t="shared" ref="Q1:Q17" si="5">(C1-M$1)^2</f>
        <v>75.792387543252616</v>
      </c>
      <c r="R1">
        <f t="shared" ref="R1:R17" si="6">(D1-N$1)^2</f>
        <v>0.16955017301038061</v>
      </c>
      <c r="T1">
        <f t="shared" ref="T1:T17" si="7">(B1-L$1)</f>
        <v>8.7058823529411775</v>
      </c>
      <c r="U1">
        <f t="shared" ref="U1:U17" si="8">(C1-M$1)</f>
        <v>8.7058823529411775</v>
      </c>
      <c r="V1">
        <f t="shared" ref="V1:V17" si="9">(D1-N$1)</f>
        <v>0.41176470588235292</v>
      </c>
    </row>
    <row r="2" spans="1:22" x14ac:dyDescent="0.25">
      <c r="A2">
        <f t="shared" ref="A2:A17" si="10">(A1+1)</f>
        <v>2</v>
      </c>
      <c r="B2">
        <v>13</v>
      </c>
      <c r="C2">
        <v>13</v>
      </c>
      <c r="D2">
        <v>2</v>
      </c>
      <c r="E2">
        <f t="shared" ref="E2:E17" si="11">(E1+1)</f>
        <v>2</v>
      </c>
      <c r="F2">
        <f t="shared" si="0"/>
        <v>121</v>
      </c>
      <c r="G2">
        <f t="shared" si="1"/>
        <v>121</v>
      </c>
      <c r="I2">
        <f t="shared" si="2"/>
        <v>-11</v>
      </c>
      <c r="J2">
        <f t="shared" si="3"/>
        <v>-11</v>
      </c>
      <c r="P2">
        <f t="shared" si="4"/>
        <v>94.204152249134964</v>
      </c>
      <c r="Q2">
        <f t="shared" si="5"/>
        <v>94.204152249134964</v>
      </c>
      <c r="R2">
        <f t="shared" si="6"/>
        <v>1.9930795847750862</v>
      </c>
      <c r="T2">
        <f t="shared" si="7"/>
        <v>9.7058823529411775</v>
      </c>
      <c r="U2">
        <f t="shared" si="8"/>
        <v>9.7058823529411775</v>
      </c>
      <c r="V2">
        <f t="shared" si="9"/>
        <v>1.4117647058823528</v>
      </c>
    </row>
    <row r="3" spans="1:22" x14ac:dyDescent="0.25">
      <c r="A3">
        <f t="shared" si="10"/>
        <v>3</v>
      </c>
      <c r="B3">
        <v>15</v>
      </c>
      <c r="C3">
        <v>15</v>
      </c>
      <c r="D3">
        <v>3</v>
      </c>
      <c r="E3">
        <f t="shared" si="11"/>
        <v>3</v>
      </c>
      <c r="F3">
        <f t="shared" si="0"/>
        <v>144</v>
      </c>
      <c r="G3">
        <f t="shared" si="1"/>
        <v>144</v>
      </c>
      <c r="I3">
        <f t="shared" si="2"/>
        <v>-12</v>
      </c>
      <c r="J3">
        <f t="shared" si="3"/>
        <v>-12</v>
      </c>
      <c r="P3">
        <f t="shared" si="4"/>
        <v>137.02768166089967</v>
      </c>
      <c r="Q3">
        <f t="shared" si="5"/>
        <v>137.02768166089967</v>
      </c>
      <c r="R3">
        <f t="shared" si="6"/>
        <v>5.8166089965397916</v>
      </c>
      <c r="T3">
        <f t="shared" si="7"/>
        <v>11.705882352941178</v>
      </c>
      <c r="U3">
        <f t="shared" si="8"/>
        <v>11.705882352941178</v>
      </c>
      <c r="V3">
        <f t="shared" si="9"/>
        <v>2.4117647058823528</v>
      </c>
    </row>
    <row r="4" spans="1:22" x14ac:dyDescent="0.25">
      <c r="A4">
        <f t="shared" si="10"/>
        <v>4</v>
      </c>
      <c r="B4">
        <v>16</v>
      </c>
      <c r="C4">
        <v>16</v>
      </c>
      <c r="D4">
        <v>4</v>
      </c>
      <c r="E4">
        <f t="shared" si="11"/>
        <v>4</v>
      </c>
      <c r="F4">
        <f t="shared" si="0"/>
        <v>144</v>
      </c>
      <c r="G4">
        <f t="shared" si="1"/>
        <v>144</v>
      </c>
      <c r="I4">
        <f t="shared" si="2"/>
        <v>-12</v>
      </c>
      <c r="J4">
        <f t="shared" si="3"/>
        <v>-12</v>
      </c>
      <c r="P4">
        <f t="shared" si="4"/>
        <v>161.43944636678202</v>
      </c>
      <c r="Q4">
        <f t="shared" si="5"/>
        <v>161.43944636678202</v>
      </c>
      <c r="R4">
        <f t="shared" si="6"/>
        <v>11.640138408304498</v>
      </c>
      <c r="T4">
        <f t="shared" si="7"/>
        <v>12.705882352941178</v>
      </c>
      <c r="U4">
        <f t="shared" si="8"/>
        <v>12.705882352941178</v>
      </c>
      <c r="V4">
        <f t="shared" si="9"/>
        <v>3.4117647058823528</v>
      </c>
    </row>
    <row r="5" spans="1:22" x14ac:dyDescent="0.25">
      <c r="A5">
        <f t="shared" si="10"/>
        <v>5</v>
      </c>
      <c r="B5">
        <v>0</v>
      </c>
      <c r="C5">
        <v>0</v>
      </c>
      <c r="D5">
        <v>0</v>
      </c>
      <c r="E5">
        <f t="shared" si="11"/>
        <v>5</v>
      </c>
      <c r="F5">
        <f t="shared" si="0"/>
        <v>0</v>
      </c>
      <c r="G5">
        <f t="shared" si="1"/>
        <v>0</v>
      </c>
      <c r="I5">
        <f t="shared" si="2"/>
        <v>0</v>
      </c>
      <c r="J5">
        <f t="shared" si="3"/>
        <v>0</v>
      </c>
      <c r="P5">
        <f t="shared" si="4"/>
        <v>10.851211072664359</v>
      </c>
      <c r="Q5">
        <f t="shared" si="5"/>
        <v>10.851211072664359</v>
      </c>
      <c r="R5">
        <f t="shared" si="6"/>
        <v>0.34602076124567477</v>
      </c>
      <c r="T5">
        <f t="shared" si="7"/>
        <v>-3.2941176470588234</v>
      </c>
      <c r="U5">
        <f t="shared" si="8"/>
        <v>-3.2941176470588234</v>
      </c>
      <c r="V5">
        <f t="shared" si="9"/>
        <v>-0.58823529411764708</v>
      </c>
    </row>
    <row r="6" spans="1:22" x14ac:dyDescent="0.25">
      <c r="A6">
        <f t="shared" si="10"/>
        <v>6</v>
      </c>
      <c r="B6">
        <v>0</v>
      </c>
      <c r="C6">
        <v>0</v>
      </c>
      <c r="D6">
        <v>0</v>
      </c>
      <c r="E6">
        <f t="shared" si="11"/>
        <v>6</v>
      </c>
      <c r="F6">
        <f t="shared" si="0"/>
        <v>0</v>
      </c>
      <c r="G6">
        <f t="shared" si="1"/>
        <v>0</v>
      </c>
      <c r="I6">
        <f t="shared" si="2"/>
        <v>0</v>
      </c>
      <c r="J6">
        <f t="shared" si="3"/>
        <v>0</v>
      </c>
      <c r="P6">
        <f t="shared" si="4"/>
        <v>10.851211072664359</v>
      </c>
      <c r="Q6">
        <f t="shared" si="5"/>
        <v>10.851211072664359</v>
      </c>
      <c r="R6">
        <f t="shared" si="6"/>
        <v>0.34602076124567477</v>
      </c>
      <c r="T6">
        <f t="shared" si="7"/>
        <v>-3.2941176470588234</v>
      </c>
      <c r="U6">
        <f t="shared" si="8"/>
        <v>-3.2941176470588234</v>
      </c>
      <c r="V6">
        <f t="shared" si="9"/>
        <v>-0.58823529411764708</v>
      </c>
    </row>
    <row r="7" spans="1:22" x14ac:dyDescent="0.25">
      <c r="A7">
        <f t="shared" si="10"/>
        <v>7</v>
      </c>
      <c r="B7">
        <v>0</v>
      </c>
      <c r="C7">
        <v>0</v>
      </c>
      <c r="D7">
        <v>0</v>
      </c>
      <c r="E7">
        <f t="shared" si="11"/>
        <v>7</v>
      </c>
      <c r="F7">
        <f t="shared" si="0"/>
        <v>0</v>
      </c>
      <c r="G7">
        <f t="shared" si="1"/>
        <v>0</v>
      </c>
      <c r="I7">
        <f t="shared" si="2"/>
        <v>0</v>
      </c>
      <c r="J7">
        <f t="shared" si="3"/>
        <v>0</v>
      </c>
      <c r="P7">
        <f t="shared" si="4"/>
        <v>10.851211072664359</v>
      </c>
      <c r="Q7">
        <f t="shared" si="5"/>
        <v>10.851211072664359</v>
      </c>
      <c r="R7">
        <f t="shared" si="6"/>
        <v>0.34602076124567477</v>
      </c>
      <c r="T7">
        <f t="shared" si="7"/>
        <v>-3.2941176470588234</v>
      </c>
      <c r="U7">
        <f t="shared" si="8"/>
        <v>-3.2941176470588234</v>
      </c>
      <c r="V7">
        <f t="shared" si="9"/>
        <v>-0.58823529411764708</v>
      </c>
    </row>
    <row r="8" spans="1:22" x14ac:dyDescent="0.25">
      <c r="A8">
        <f t="shared" si="10"/>
        <v>8</v>
      </c>
      <c r="B8">
        <v>0</v>
      </c>
      <c r="C8">
        <v>0</v>
      </c>
      <c r="D8">
        <v>0</v>
      </c>
      <c r="E8">
        <f t="shared" si="11"/>
        <v>8</v>
      </c>
      <c r="F8">
        <f t="shared" si="0"/>
        <v>0</v>
      </c>
      <c r="G8">
        <f t="shared" si="1"/>
        <v>0</v>
      </c>
      <c r="I8">
        <f t="shared" si="2"/>
        <v>0</v>
      </c>
      <c r="J8">
        <f t="shared" si="3"/>
        <v>0</v>
      </c>
      <c r="P8">
        <f t="shared" si="4"/>
        <v>10.851211072664359</v>
      </c>
      <c r="Q8">
        <f t="shared" si="5"/>
        <v>10.851211072664359</v>
      </c>
      <c r="R8">
        <f t="shared" si="6"/>
        <v>0.34602076124567477</v>
      </c>
      <c r="T8">
        <f t="shared" si="7"/>
        <v>-3.2941176470588234</v>
      </c>
      <c r="U8">
        <f t="shared" si="8"/>
        <v>-3.2941176470588234</v>
      </c>
      <c r="V8">
        <f t="shared" si="9"/>
        <v>-0.58823529411764708</v>
      </c>
    </row>
    <row r="9" spans="1:22" x14ac:dyDescent="0.25">
      <c r="A9">
        <f t="shared" si="10"/>
        <v>9</v>
      </c>
      <c r="B9">
        <v>0</v>
      </c>
      <c r="C9">
        <v>0</v>
      </c>
      <c r="D9">
        <v>0</v>
      </c>
      <c r="E9">
        <f t="shared" si="11"/>
        <v>9</v>
      </c>
      <c r="F9">
        <f t="shared" si="0"/>
        <v>0</v>
      </c>
      <c r="G9">
        <f t="shared" si="1"/>
        <v>0</v>
      </c>
      <c r="I9">
        <f t="shared" si="2"/>
        <v>0</v>
      </c>
      <c r="J9">
        <f t="shared" si="3"/>
        <v>0</v>
      </c>
      <c r="P9">
        <f t="shared" si="4"/>
        <v>10.851211072664359</v>
      </c>
      <c r="Q9">
        <f t="shared" si="5"/>
        <v>10.851211072664359</v>
      </c>
      <c r="R9">
        <f t="shared" si="6"/>
        <v>0.34602076124567477</v>
      </c>
      <c r="T9">
        <f t="shared" si="7"/>
        <v>-3.2941176470588234</v>
      </c>
      <c r="U9">
        <f t="shared" si="8"/>
        <v>-3.2941176470588234</v>
      </c>
      <c r="V9">
        <f t="shared" si="9"/>
        <v>-0.58823529411764708</v>
      </c>
    </row>
    <row r="10" spans="1:22" x14ac:dyDescent="0.25">
      <c r="A10">
        <f t="shared" si="10"/>
        <v>10</v>
      </c>
      <c r="B10">
        <v>0</v>
      </c>
      <c r="C10">
        <v>0</v>
      </c>
      <c r="D10">
        <v>0</v>
      </c>
      <c r="E10">
        <f t="shared" si="11"/>
        <v>10</v>
      </c>
      <c r="F10">
        <f t="shared" si="0"/>
        <v>0</v>
      </c>
      <c r="G10">
        <f t="shared" si="1"/>
        <v>0</v>
      </c>
      <c r="I10">
        <f t="shared" si="2"/>
        <v>0</v>
      </c>
      <c r="J10">
        <f t="shared" si="3"/>
        <v>0</v>
      </c>
      <c r="P10">
        <f t="shared" si="4"/>
        <v>10.851211072664359</v>
      </c>
      <c r="Q10">
        <f t="shared" si="5"/>
        <v>10.851211072664359</v>
      </c>
      <c r="R10">
        <f t="shared" si="6"/>
        <v>0.34602076124567477</v>
      </c>
      <c r="T10">
        <f t="shared" si="7"/>
        <v>-3.2941176470588234</v>
      </c>
      <c r="U10">
        <f t="shared" si="8"/>
        <v>-3.2941176470588234</v>
      </c>
      <c r="V10">
        <f t="shared" si="9"/>
        <v>-0.58823529411764708</v>
      </c>
    </row>
    <row r="11" spans="1:22" x14ac:dyDescent="0.25">
      <c r="A11">
        <f t="shared" si="10"/>
        <v>11</v>
      </c>
      <c r="B11">
        <v>0</v>
      </c>
      <c r="C11">
        <v>0</v>
      </c>
      <c r="D11">
        <v>0</v>
      </c>
      <c r="E11">
        <f t="shared" si="11"/>
        <v>11</v>
      </c>
      <c r="F11">
        <f t="shared" si="0"/>
        <v>0</v>
      </c>
      <c r="G11">
        <f t="shared" si="1"/>
        <v>0</v>
      </c>
      <c r="I11">
        <f t="shared" si="2"/>
        <v>0</v>
      </c>
      <c r="J11">
        <f t="shared" si="3"/>
        <v>0</v>
      </c>
      <c r="P11">
        <f t="shared" si="4"/>
        <v>10.851211072664359</v>
      </c>
      <c r="Q11">
        <f t="shared" si="5"/>
        <v>10.851211072664359</v>
      </c>
      <c r="R11">
        <f t="shared" si="6"/>
        <v>0.34602076124567477</v>
      </c>
      <c r="T11">
        <f t="shared" si="7"/>
        <v>-3.2941176470588234</v>
      </c>
      <c r="U11">
        <f t="shared" si="8"/>
        <v>-3.2941176470588234</v>
      </c>
      <c r="V11">
        <f t="shared" si="9"/>
        <v>-0.58823529411764708</v>
      </c>
    </row>
    <row r="12" spans="1:22" x14ac:dyDescent="0.25">
      <c r="A12">
        <f t="shared" si="10"/>
        <v>12</v>
      </c>
      <c r="B12">
        <v>0</v>
      </c>
      <c r="C12">
        <v>0</v>
      </c>
      <c r="D12">
        <v>0</v>
      </c>
      <c r="E12">
        <f t="shared" si="11"/>
        <v>12</v>
      </c>
      <c r="F12">
        <f t="shared" si="0"/>
        <v>0</v>
      </c>
      <c r="G12">
        <f t="shared" si="1"/>
        <v>0</v>
      </c>
      <c r="I12">
        <f t="shared" si="2"/>
        <v>0</v>
      </c>
      <c r="J12">
        <f t="shared" si="3"/>
        <v>0</v>
      </c>
      <c r="P12">
        <f t="shared" si="4"/>
        <v>10.851211072664359</v>
      </c>
      <c r="Q12">
        <f t="shared" si="5"/>
        <v>10.851211072664359</v>
      </c>
      <c r="R12">
        <f t="shared" si="6"/>
        <v>0.34602076124567477</v>
      </c>
      <c r="T12">
        <f t="shared" si="7"/>
        <v>-3.2941176470588234</v>
      </c>
      <c r="U12">
        <f t="shared" si="8"/>
        <v>-3.2941176470588234</v>
      </c>
      <c r="V12">
        <f t="shared" si="9"/>
        <v>-0.58823529411764708</v>
      </c>
    </row>
    <row r="13" spans="1:22" x14ac:dyDescent="0.25">
      <c r="A13">
        <f t="shared" si="10"/>
        <v>13</v>
      </c>
      <c r="B13">
        <v>0</v>
      </c>
      <c r="C13">
        <v>0</v>
      </c>
      <c r="D13">
        <v>0</v>
      </c>
      <c r="E13">
        <f t="shared" si="11"/>
        <v>13</v>
      </c>
      <c r="F13">
        <f t="shared" si="0"/>
        <v>0</v>
      </c>
      <c r="G13">
        <f t="shared" si="1"/>
        <v>0</v>
      </c>
      <c r="I13">
        <f t="shared" si="2"/>
        <v>0</v>
      </c>
      <c r="J13">
        <f t="shared" si="3"/>
        <v>0</v>
      </c>
      <c r="P13">
        <f t="shared" si="4"/>
        <v>10.851211072664359</v>
      </c>
      <c r="Q13">
        <f t="shared" si="5"/>
        <v>10.851211072664359</v>
      </c>
      <c r="R13">
        <f t="shared" si="6"/>
        <v>0.34602076124567477</v>
      </c>
      <c r="T13">
        <f t="shared" si="7"/>
        <v>-3.2941176470588234</v>
      </c>
      <c r="U13">
        <f t="shared" si="8"/>
        <v>-3.2941176470588234</v>
      </c>
      <c r="V13">
        <f t="shared" si="9"/>
        <v>-0.58823529411764708</v>
      </c>
    </row>
    <row r="14" spans="1:22" x14ac:dyDescent="0.25">
      <c r="A14">
        <f t="shared" si="10"/>
        <v>14</v>
      </c>
      <c r="B14">
        <v>0</v>
      </c>
      <c r="C14">
        <v>0</v>
      </c>
      <c r="D14">
        <v>0</v>
      </c>
      <c r="E14">
        <f t="shared" si="11"/>
        <v>14</v>
      </c>
      <c r="F14">
        <f t="shared" si="0"/>
        <v>0</v>
      </c>
      <c r="G14">
        <f t="shared" si="1"/>
        <v>0</v>
      </c>
      <c r="I14">
        <f t="shared" si="2"/>
        <v>0</v>
      </c>
      <c r="J14">
        <f t="shared" si="3"/>
        <v>0</v>
      </c>
      <c r="P14">
        <f t="shared" si="4"/>
        <v>10.851211072664359</v>
      </c>
      <c r="Q14">
        <f t="shared" si="5"/>
        <v>10.851211072664359</v>
      </c>
      <c r="R14">
        <f t="shared" si="6"/>
        <v>0.34602076124567477</v>
      </c>
      <c r="T14">
        <f t="shared" si="7"/>
        <v>-3.2941176470588234</v>
      </c>
      <c r="U14">
        <f t="shared" si="8"/>
        <v>-3.2941176470588234</v>
      </c>
      <c r="V14">
        <f t="shared" si="9"/>
        <v>-0.58823529411764708</v>
      </c>
    </row>
    <row r="15" spans="1:22" x14ac:dyDescent="0.25">
      <c r="A15">
        <f t="shared" si="10"/>
        <v>15</v>
      </c>
      <c r="B15">
        <v>0</v>
      </c>
      <c r="C15">
        <v>0</v>
      </c>
      <c r="D15">
        <v>0</v>
      </c>
      <c r="E15">
        <f t="shared" si="11"/>
        <v>15</v>
      </c>
      <c r="F15">
        <f t="shared" si="0"/>
        <v>0</v>
      </c>
      <c r="G15">
        <f t="shared" si="1"/>
        <v>0</v>
      </c>
      <c r="I15">
        <f t="shared" si="2"/>
        <v>0</v>
      </c>
      <c r="J15">
        <f t="shared" si="3"/>
        <v>0</v>
      </c>
      <c r="P15">
        <f t="shared" si="4"/>
        <v>10.851211072664359</v>
      </c>
      <c r="Q15">
        <f t="shared" si="5"/>
        <v>10.851211072664359</v>
      </c>
      <c r="R15">
        <f t="shared" si="6"/>
        <v>0.34602076124567477</v>
      </c>
      <c r="T15">
        <f t="shared" si="7"/>
        <v>-3.2941176470588234</v>
      </c>
      <c r="U15">
        <f t="shared" si="8"/>
        <v>-3.2941176470588234</v>
      </c>
      <c r="V15">
        <f t="shared" si="9"/>
        <v>-0.58823529411764708</v>
      </c>
    </row>
    <row r="16" spans="1:22" x14ac:dyDescent="0.25">
      <c r="A16">
        <f t="shared" si="10"/>
        <v>16</v>
      </c>
      <c r="B16">
        <v>0</v>
      </c>
      <c r="C16">
        <v>0</v>
      </c>
      <c r="D16">
        <v>0</v>
      </c>
      <c r="E16">
        <f t="shared" si="11"/>
        <v>16</v>
      </c>
      <c r="F16">
        <f t="shared" si="0"/>
        <v>0</v>
      </c>
      <c r="G16">
        <f t="shared" si="1"/>
        <v>0</v>
      </c>
      <c r="I16">
        <f t="shared" si="2"/>
        <v>0</v>
      </c>
      <c r="J16">
        <f t="shared" si="3"/>
        <v>0</v>
      </c>
      <c r="P16">
        <f t="shared" si="4"/>
        <v>10.851211072664359</v>
      </c>
      <c r="Q16">
        <f t="shared" si="5"/>
        <v>10.851211072664359</v>
      </c>
      <c r="R16">
        <f t="shared" si="6"/>
        <v>0.34602076124567477</v>
      </c>
      <c r="T16">
        <f t="shared" si="7"/>
        <v>-3.2941176470588234</v>
      </c>
      <c r="U16">
        <f t="shared" si="8"/>
        <v>-3.2941176470588234</v>
      </c>
      <c r="V16">
        <f t="shared" si="9"/>
        <v>-0.58823529411764708</v>
      </c>
    </row>
    <row r="17" spans="1:22" x14ac:dyDescent="0.25">
      <c r="A17">
        <f t="shared" si="10"/>
        <v>17</v>
      </c>
      <c r="B17">
        <v>0</v>
      </c>
      <c r="C17">
        <v>0</v>
      </c>
      <c r="D17">
        <v>0</v>
      </c>
      <c r="E17">
        <f t="shared" si="11"/>
        <v>17</v>
      </c>
      <c r="F17">
        <f t="shared" si="0"/>
        <v>0</v>
      </c>
      <c r="G17">
        <f t="shared" si="1"/>
        <v>0</v>
      </c>
      <c r="I17">
        <f t="shared" si="2"/>
        <v>0</v>
      </c>
      <c r="J17">
        <f t="shared" si="3"/>
        <v>0</v>
      </c>
      <c r="P17">
        <f t="shared" si="4"/>
        <v>10.851211072664359</v>
      </c>
      <c r="Q17">
        <f t="shared" si="5"/>
        <v>10.851211072664359</v>
      </c>
      <c r="R17">
        <f t="shared" si="6"/>
        <v>0.34602076124567477</v>
      </c>
      <c r="T17">
        <f t="shared" si="7"/>
        <v>-3.2941176470588234</v>
      </c>
      <c r="U17">
        <f t="shared" si="8"/>
        <v>-3.2941176470588234</v>
      </c>
      <c r="V17">
        <f t="shared" si="9"/>
        <v>-0.58823529411764708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AK7"/>
  <sheetViews>
    <sheetView tabSelected="1" workbookViewId="0">
      <selection activeCell="S5" sqref="S5:T5"/>
    </sheetView>
  </sheetViews>
  <sheetFormatPr defaultRowHeight="15" x14ac:dyDescent="0.25"/>
  <cols>
    <col min="2" max="2" width="11.7109375" customWidth="1"/>
  </cols>
  <sheetData>
    <row r="1" spans="1:37" ht="15.75" x14ac:dyDescent="0.25">
      <c r="B1" t="s">
        <v>6</v>
      </c>
      <c r="C1" t="s">
        <v>7</v>
      </c>
      <c r="D1" t="s">
        <v>8</v>
      </c>
      <c r="E1" t="s">
        <v>9</v>
      </c>
      <c r="F1" t="s">
        <v>11</v>
      </c>
      <c r="G1" t="s">
        <v>12</v>
      </c>
      <c r="H1" t="s">
        <v>10</v>
      </c>
      <c r="I1" t="s">
        <v>10</v>
      </c>
      <c r="J1" s="1" t="s">
        <v>15</v>
      </c>
      <c r="K1" s="1" t="s">
        <v>15</v>
      </c>
      <c r="L1" t="s">
        <v>16</v>
      </c>
      <c r="M1" t="s">
        <v>16</v>
      </c>
      <c r="N1" t="s">
        <v>17</v>
      </c>
      <c r="O1" t="s">
        <v>18</v>
      </c>
      <c r="P1" t="s">
        <v>18</v>
      </c>
      <c r="Q1" t="s">
        <v>19</v>
      </c>
      <c r="R1" t="s">
        <v>19</v>
      </c>
      <c r="S1" s="1" t="s">
        <v>22</v>
      </c>
      <c r="T1" s="1" t="s">
        <v>22</v>
      </c>
      <c r="U1" t="s">
        <v>8</v>
      </c>
      <c r="V1" t="s">
        <v>9</v>
      </c>
      <c r="W1" t="s">
        <v>11</v>
      </c>
      <c r="X1" t="s">
        <v>12</v>
      </c>
      <c r="Y1" t="s">
        <v>10</v>
      </c>
      <c r="Z1" t="s">
        <v>10</v>
      </c>
      <c r="AA1" s="1" t="s">
        <v>15</v>
      </c>
      <c r="AB1" s="1" t="s">
        <v>15</v>
      </c>
      <c r="AC1" t="s">
        <v>16</v>
      </c>
      <c r="AD1" t="s">
        <v>16</v>
      </c>
      <c r="AE1" t="s">
        <v>17</v>
      </c>
      <c r="AF1" t="s">
        <v>18</v>
      </c>
      <c r="AG1" t="s">
        <v>18</v>
      </c>
      <c r="AH1" t="s">
        <v>19</v>
      </c>
      <c r="AI1" t="s">
        <v>19</v>
      </c>
      <c r="AJ1" s="1" t="s">
        <v>22</v>
      </c>
      <c r="AK1" s="1" t="s">
        <v>22</v>
      </c>
    </row>
    <row r="2" spans="1:37" x14ac:dyDescent="0.25">
      <c r="A2" t="s">
        <v>0</v>
      </c>
      <c r="B2" t="s">
        <v>1</v>
      </c>
      <c r="C2" t="s">
        <v>2</v>
      </c>
      <c r="D2" t="s">
        <v>13</v>
      </c>
      <c r="E2" t="s">
        <v>3</v>
      </c>
      <c r="F2">
        <v>4</v>
      </c>
      <c r="G2">
        <v>10</v>
      </c>
      <c r="H2">
        <f>SUM(math1!F1:'math1'!F7)</f>
        <v>530</v>
      </c>
      <c r="I2">
        <f>SUM(math1!G1:'math1'!G7)</f>
        <v>121</v>
      </c>
      <c r="J2">
        <f>SUM(math1!I1:'math1'!I7)/7</f>
        <v>-6.5714285714285712</v>
      </c>
      <c r="K2">
        <f>SUM(math1!J1:'math1'!J7)/7</f>
        <v>-2.7142857142857144</v>
      </c>
      <c r="L2">
        <f>SQRT(SUM(math1!F1:'math1'!F7)/7)</f>
        <v>8.7013956187663197</v>
      </c>
      <c r="M2">
        <f>SQRT(SUM(math1!G1:'math1'!G7)/7)</f>
        <v>4.1576092031014991</v>
      </c>
      <c r="N2">
        <f>SUM(math1!R1:'math1'!R7)/6</f>
        <v>2.6190476190476186</v>
      </c>
      <c r="O2">
        <f t="shared" ref="O2:P2" si="0">SUM(L2)/$N2</f>
        <v>3.3223510544380499</v>
      </c>
      <c r="P2">
        <f t="shared" si="0"/>
        <v>1.5874507866387544</v>
      </c>
      <c r="Q2">
        <f>SUM((math1!T1:'math1'!T7*math1!$V1:'math1'!$V7))^2 / SUM((math1!P1:'math1'!P7)*SUM(math1!$R1:'math1'!$R7))</f>
        <v>2.0779220779220779E-2</v>
      </c>
      <c r="R2">
        <f>SUM((math1!U1:'math1'!U7*math1!$V1:'math1'!$V7))^2 / SUM((math1!Q1:'math1'!Q7)*SUM(math1!$R1:'math1'!$R7))</f>
        <v>2.0779220779220779E-2</v>
      </c>
      <c r="S2">
        <f>SUM(math1!P1:'math1'!P7) / SUM(math1!$R1:'math1'!$R7)</f>
        <v>22.018181818181823</v>
      </c>
      <c r="T2">
        <f>SUM(math1!Q1:'math1'!Q7) / SUM(math1!$R1:'math1'!$R7)</f>
        <v>5.5272727272727282</v>
      </c>
      <c r="U2" t="s">
        <v>13</v>
      </c>
      <c r="V2" t="s">
        <v>21</v>
      </c>
      <c r="W2">
        <v>4</v>
      </c>
      <c r="X2">
        <v>10</v>
      </c>
      <c r="Y2">
        <f>SUM(math1!AD1:'math1'!AD7)</f>
        <v>530</v>
      </c>
      <c r="Z2">
        <f>SUM(math1!AE1:'math1'!AE7)</f>
        <v>121</v>
      </c>
      <c r="AA2">
        <f>SUM(math1!AG1:'math1'!AG7)/7</f>
        <v>-6.5714285714285712</v>
      </c>
      <c r="AB2">
        <f>SUM(math1!AH1:'math1'!AH7)/7</f>
        <v>-2.7142857142857144</v>
      </c>
      <c r="AC2">
        <f>SQRT(SUM(math1!AD1:'math1'!AD7)/7)</f>
        <v>8.7013956187663197</v>
      </c>
      <c r="AD2">
        <f>SQRT(SUM(math1!AE1:'math1'!AE7)/7)</f>
        <v>4.1576092031014991</v>
      </c>
      <c r="AE2">
        <f>SUM(math1!AP1:'math1'!AP7)/6</f>
        <v>2.6190476190476186</v>
      </c>
      <c r="AF2">
        <f t="shared" ref="AF2:AG2" si="1">SUM(AC2)/$AE2</f>
        <v>3.3223510544380499</v>
      </c>
      <c r="AG2">
        <f t="shared" si="1"/>
        <v>1.5874507866387544</v>
      </c>
      <c r="AH2">
        <f>SUM((math1!AR1:'math1'!AR7*math1!$AT1:'math1'!$AT7))^2 / SUM((math1!AN1:'math1'!AN7)*SUM(math1!$AP1:'math1'!$AP7))</f>
        <v>2.0779220779220779E-2</v>
      </c>
      <c r="AI2">
        <f>SUM((math1!AS1:'math1'!AS7*math1!$AT1:'math1'!$AT7))^2 / SUM((math1!AO1:'math1'!AO7)*SUM(math1!$AP1:'math1'!$AP7))</f>
        <v>2.0779220779220779E-2</v>
      </c>
      <c r="AJ2">
        <f>SUM(math1!AN1:'math1'!AN7) / SUM(math1!$AP1:'math1'!$AP7)</f>
        <v>22.018181818181823</v>
      </c>
      <c r="AK2">
        <f>SUM(math1!AO1:'math1'!AO7) / SUM(math1!$AP1:'math1'!$AP7)</f>
        <v>5.5272727272727282</v>
      </c>
    </row>
    <row r="3" spans="1:37" ht="15.75" x14ac:dyDescent="0.25">
      <c r="A3" t="s">
        <v>4</v>
      </c>
      <c r="B3" t="s">
        <v>20</v>
      </c>
      <c r="C3" t="s">
        <v>2</v>
      </c>
      <c r="Y3" s="1"/>
      <c r="Z3" s="1"/>
    </row>
    <row r="4" spans="1:37" ht="15.75" x14ac:dyDescent="0.25">
      <c r="A4" t="s">
        <v>5</v>
      </c>
      <c r="B4" t="s">
        <v>14</v>
      </c>
      <c r="D4" t="s">
        <v>8</v>
      </c>
      <c r="E4" t="s">
        <v>9</v>
      </c>
      <c r="F4" t="s">
        <v>11</v>
      </c>
      <c r="G4" t="s">
        <v>12</v>
      </c>
      <c r="H4" t="s">
        <v>10</v>
      </c>
      <c r="I4" t="s">
        <v>10</v>
      </c>
      <c r="J4" s="1" t="s">
        <v>15</v>
      </c>
      <c r="K4" s="1" t="s">
        <v>15</v>
      </c>
      <c r="L4" t="s">
        <v>16</v>
      </c>
      <c r="M4" t="s">
        <v>16</v>
      </c>
      <c r="N4" t="s">
        <v>17</v>
      </c>
      <c r="O4" t="s">
        <v>18</v>
      </c>
      <c r="P4" t="s">
        <v>18</v>
      </c>
      <c r="Q4" t="s">
        <v>19</v>
      </c>
      <c r="R4" t="s">
        <v>19</v>
      </c>
      <c r="S4" s="1" t="s">
        <v>22</v>
      </c>
      <c r="T4" s="1" t="s">
        <v>22</v>
      </c>
      <c r="U4" t="s">
        <v>8</v>
      </c>
      <c r="V4" t="s">
        <v>9</v>
      </c>
      <c r="W4" t="s">
        <v>11</v>
      </c>
      <c r="X4" t="s">
        <v>12</v>
      </c>
      <c r="Y4" t="s">
        <v>10</v>
      </c>
      <c r="Z4" t="s">
        <v>10</v>
      </c>
      <c r="AA4" s="1" t="s">
        <v>15</v>
      </c>
      <c r="AB4" s="1" t="s">
        <v>15</v>
      </c>
      <c r="AC4" t="s">
        <v>16</v>
      </c>
      <c r="AD4" t="s">
        <v>16</v>
      </c>
      <c r="AE4" t="s">
        <v>17</v>
      </c>
      <c r="AF4" t="s">
        <v>18</v>
      </c>
      <c r="AG4" t="s">
        <v>18</v>
      </c>
      <c r="AH4" t="s">
        <v>19</v>
      </c>
      <c r="AI4" t="s">
        <v>19</v>
      </c>
      <c r="AJ4" s="1" t="s">
        <v>22</v>
      </c>
      <c r="AK4" s="1" t="s">
        <v>22</v>
      </c>
    </row>
    <row r="5" spans="1:37" x14ac:dyDescent="0.25">
      <c r="A5" t="s">
        <v>0</v>
      </c>
      <c r="B5" t="s">
        <v>1</v>
      </c>
      <c r="C5" t="s">
        <v>2</v>
      </c>
      <c r="D5" t="s">
        <v>13</v>
      </c>
      <c r="E5" t="s">
        <v>3</v>
      </c>
      <c r="F5">
        <v>4</v>
      </c>
      <c r="G5">
        <v>20</v>
      </c>
      <c r="H5">
        <f>SUM(math2!F1:'math2'!F17)</f>
        <v>530</v>
      </c>
      <c r="I5">
        <f>SUM(math2!G1:'math2'!G17)</f>
        <v>530</v>
      </c>
      <c r="J5">
        <f>SUM(math2!I1:'math2'!I17)/17</f>
        <v>-2.7058823529411766</v>
      </c>
      <c r="K5">
        <f>SUM(math2!J1:'math2'!J17)/17</f>
        <v>-2.7058823529411766</v>
      </c>
      <c r="L5">
        <f>SQRT(SUM(math2!F1:'math2'!F17)/17)</f>
        <v>5.5835894000396635</v>
      </c>
      <c r="M5">
        <f>SQRT(SUM(math2!G1:'math2'!G17)/17)</f>
        <v>5.5835894000396635</v>
      </c>
      <c r="N5">
        <f>SUM(math2!R1:'math2'!R17)/16</f>
        <v>1.5073529411764712</v>
      </c>
      <c r="O5">
        <f t="shared" ref="O5:P5" si="2">SUM(L5)/$N5</f>
        <v>3.7042349190507022</v>
      </c>
      <c r="P5">
        <f t="shared" si="2"/>
        <v>3.7042349190507022</v>
      </c>
      <c r="Q5">
        <f>SUM((math2!T1:'math2'!T17*math2!$V1:'math2'!$V17))^2 / SUM((math2!P1:'math2'!P17)*SUM(math2!$R1:'math2'!$R17))</f>
        <v>1.4347202295552362E-2</v>
      </c>
      <c r="R5">
        <f>SUM((math2!U1:'math2'!U17*math2!$V1:'math2'!$V17))^2 / SUM((math2!Q1:'math2'!Q17)*SUM(math2!$R1:'math2'!$R17))</f>
        <v>1.4347202295552362E-2</v>
      </c>
      <c r="S5">
        <f>SUM(math2!P1:'math2'!P17) / SUM(math2!$R1:'math2'!$R17)</f>
        <v>25.2731707317073</v>
      </c>
      <c r="T5">
        <f>SUM(math2!Q1:'math2'!Q17) / SUM(math2!$R1:'math2'!$R17)</f>
        <v>25.2731707317073</v>
      </c>
    </row>
    <row r="6" spans="1:37" x14ac:dyDescent="0.25">
      <c r="A6" t="s">
        <v>4</v>
      </c>
      <c r="B6" t="s">
        <v>1</v>
      </c>
      <c r="C6" t="s">
        <v>2</v>
      </c>
    </row>
    <row r="7" spans="1:37" x14ac:dyDescent="0.25">
      <c r="A7" t="s">
        <v>5</v>
      </c>
      <c r="B7" t="s">
        <v>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execute">
                <anchor moveWithCells="1">
                  <from>
                    <xdr:col>16</xdr:col>
                    <xdr:colOff>209550</xdr:colOff>
                    <xdr:row>21</xdr:row>
                    <xdr:rowOff>133350</xdr:rowOff>
                  </from>
                  <to>
                    <xdr:col>20</xdr:col>
                    <xdr:colOff>0</xdr:colOff>
                    <xdr:row>31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graph1</vt:lpstr>
      <vt:lpstr>math1</vt:lpstr>
      <vt:lpstr>graph2</vt:lpstr>
      <vt:lpstr>math2</vt:lpstr>
      <vt:lpstr>setup</vt:lpstr>
    </vt:vector>
  </TitlesOfParts>
  <Company>Aarhus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Vejlin</dc:creator>
  <cp:lastModifiedBy>Jonas Vejlin</cp:lastModifiedBy>
  <dcterms:created xsi:type="dcterms:W3CDTF">2013-06-18T06:44:16Z</dcterms:created>
  <dcterms:modified xsi:type="dcterms:W3CDTF">2013-08-19T06:52:09Z</dcterms:modified>
</cp:coreProperties>
</file>